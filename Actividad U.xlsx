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pc\Desktop\"/>
    </mc:Choice>
  </mc:AlternateContent>
  <xr:revisionPtr revIDLastSave="0" documentId="13_ncr:1_{70FD59DE-C57F-4F94-93BD-F06A36169619}" xr6:coauthVersionLast="47" xr6:coauthVersionMax="47" xr10:uidLastSave="{00000000-0000-0000-0000-000000000000}"/>
  <bookViews>
    <workbookView xWindow="30" yWindow="0" windowWidth="20460" windowHeight="10800" firstSheet="2" activeTab="2" xr2:uid="{00000000-000D-0000-FFFF-FFFF00000000}"/>
  </bookViews>
  <sheets>
    <sheet name="DMM T-ESTUDENT " sheetId="1" state="hidden" r:id="rId1"/>
    <sheet name="EJEMPLO EN CLASE DE Z" sheetId="2" state="hidden" r:id="rId2"/>
    <sheet name="Hoja1" sheetId="3" r:id="rId3"/>
  </sheets>
  <definedNames>
    <definedName name="OLE_LINK1" localSheetId="0">'DMM T-ESTUDENT '!$I$18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7" i="3" l="1"/>
  <c r="G57" i="3" s="1"/>
  <c r="F54" i="3"/>
  <c r="F56" i="3"/>
  <c r="G56" i="3" s="1"/>
  <c r="H56" i="3" s="1"/>
  <c r="F53" i="3"/>
  <c r="D47" i="3"/>
  <c r="D71" i="3"/>
  <c r="D66" i="3"/>
  <c r="D67" i="3" s="1"/>
  <c r="F35" i="2"/>
  <c r="E35" i="2"/>
  <c r="C29" i="2"/>
  <c r="C28" i="2"/>
  <c r="C33" i="2"/>
  <c r="L18" i="2"/>
  <c r="L14" i="2"/>
  <c r="E14" i="2"/>
  <c r="L8" i="2"/>
  <c r="E28" i="3"/>
  <c r="K8" i="2"/>
  <c r="E18" i="2"/>
  <c r="G18" i="2"/>
  <c r="E15" i="2"/>
  <c r="F15" i="2"/>
  <c r="D28" i="3"/>
  <c r="J8" i="2"/>
  <c r="D7" i="3"/>
  <c r="F17" i="3" s="1"/>
  <c r="C8" i="2"/>
  <c r="E19" i="2" s="1"/>
  <c r="F19" i="2" s="1"/>
  <c r="G54" i="3" l="1"/>
  <c r="G53" i="3"/>
  <c r="F73" i="3"/>
  <c r="G73" i="3" s="1"/>
  <c r="F19" i="3"/>
  <c r="F28" i="3"/>
  <c r="F35" i="3" s="1"/>
  <c r="G35" i="3" s="1"/>
  <c r="F14" i="3"/>
  <c r="F13" i="3"/>
  <c r="F18" i="3"/>
  <c r="G18" i="3" s="1"/>
  <c r="L19" i="2"/>
  <c r="M19" i="2" s="1"/>
  <c r="F18" i="2"/>
  <c r="F14" i="2"/>
  <c r="F34" i="3" l="1"/>
  <c r="G34" i="3" s="1"/>
  <c r="F38" i="3"/>
  <c r="G38" i="3" s="1"/>
  <c r="F39" i="3"/>
  <c r="G39" i="3" s="1"/>
  <c r="M14" i="2"/>
  <c r="M18" i="2"/>
  <c r="N18" i="2" s="1"/>
  <c r="L15" i="2"/>
  <c r="M15" i="2" s="1"/>
  <c r="G17" i="3"/>
  <c r="H17" i="3" s="1"/>
  <c r="G13" i="3"/>
  <c r="G14" i="3"/>
  <c r="H38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userpc</author>
  </authors>
  <commentList>
    <comment ref="F35" authorId="0" shapeId="0" xr:uid="{08796E4E-5A65-4633-B8C6-FEDB8B1B1C5C}">
      <text>
        <r>
          <rPr>
            <b/>
            <sz val="9"/>
            <color indexed="81"/>
            <rFont val="Tahoma"/>
            <family val="2"/>
          </rPr>
          <t>userpc:</t>
        </r>
        <r>
          <rPr>
            <sz val="9"/>
            <color indexed="81"/>
            <rFont val="Tahoma"/>
            <family val="2"/>
          </rPr>
          <t xml:space="preserve">
Es probable que la media poblacional en algún momento sea 5.9</t>
        </r>
      </text>
    </comment>
  </commentList>
</comments>
</file>

<file path=xl/sharedStrings.xml><?xml version="1.0" encoding="utf-8"?>
<sst xmlns="http://schemas.openxmlformats.org/spreadsheetml/2006/main" count="86" uniqueCount="37">
  <si>
    <t>DATOS</t>
  </si>
  <si>
    <t>cola izquierda</t>
  </si>
  <si>
    <t>1)</t>
  </si>
  <si>
    <t xml:space="preserve">cola derecha </t>
  </si>
  <si>
    <t>Z</t>
  </si>
  <si>
    <t>2)</t>
  </si>
  <si>
    <t>3)</t>
  </si>
  <si>
    <t xml:space="preserve">2 colas </t>
  </si>
  <si>
    <t>Z1</t>
  </si>
  <si>
    <t>Z2</t>
  </si>
  <si>
    <t>Datos</t>
  </si>
  <si>
    <t>Latas de gaseosas</t>
  </si>
  <si>
    <t>N</t>
  </si>
  <si>
    <t>Con población de 1200</t>
  </si>
  <si>
    <t>Media poblacional</t>
  </si>
  <si>
    <t>Error estandar de la media</t>
  </si>
  <si>
    <t>Ejemplo de vigas</t>
  </si>
  <si>
    <t>S</t>
  </si>
  <si>
    <t>Desviación tipica estandar muestral</t>
  </si>
  <si>
    <t>Desviación estandar</t>
  </si>
  <si>
    <t>Tamaño total población</t>
  </si>
  <si>
    <t>Tamaño de la muestra</t>
  </si>
  <si>
    <t>B</t>
  </si>
  <si>
    <t>C</t>
  </si>
  <si>
    <t>A</t>
  </si>
  <si>
    <t>D</t>
  </si>
  <si>
    <t>F</t>
  </si>
  <si>
    <t>Punto 1</t>
  </si>
  <si>
    <t>Punto 2</t>
  </si>
  <si>
    <t>Z3</t>
  </si>
  <si>
    <t>Punto 3</t>
  </si>
  <si>
    <t>Desviación muestral</t>
  </si>
  <si>
    <t>Media</t>
  </si>
  <si>
    <t>E</t>
  </si>
  <si>
    <t>Para desechar</t>
  </si>
  <si>
    <t>Para procesar</t>
  </si>
  <si>
    <t>2 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</si>
</sst>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00"/>
    <numFmt numFmtId="165" formatCode="0.00000"/>
    <numFmt numFmtId="166" formatCode="0.00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0">
    <xf numFmtId="0" fontId="0" fillId="0" borderId="0" xfId="0"/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0" fillId="0" borderId="11" xfId="0" applyFont="1" applyBorder="1"/>
    <xf numFmtId="0" fontId="0" fillId="0" borderId="11" xfId="0" applyBorder="1"/>
    <xf numFmtId="0" fontId="2" fillId="0" borderId="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0" fillId="0" borderId="12" xfId="0" applyBorder="1"/>
    <xf numFmtId="0" fontId="1" fillId="0" borderId="0" xfId="0" applyFont="1" applyFill="1" applyBorder="1" applyAlignment="1">
      <alignment horizontal="center"/>
    </xf>
    <xf numFmtId="0" fontId="3" fillId="0" borderId="0" xfId="0" applyFont="1"/>
    <xf numFmtId="0" fontId="3" fillId="0" borderId="11" xfId="0" applyFont="1" applyBorder="1"/>
    <xf numFmtId="0" fontId="4" fillId="0" borderId="0" xfId="0" applyFont="1" applyBorder="1" applyAlignment="1">
      <alignment horizontal="center"/>
    </xf>
    <xf numFmtId="0" fontId="3" fillId="0" borderId="0" xfId="0" applyFont="1" applyBorder="1"/>
    <xf numFmtId="0" fontId="4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0" xfId="0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13" xfId="0" applyFont="1" applyBorder="1" applyAlignment="1">
      <alignment horizontal="right"/>
    </xf>
    <xf numFmtId="0" fontId="4" fillId="0" borderId="2" xfId="0" applyFont="1" applyBorder="1" applyAlignment="1">
      <alignment horizontal="left"/>
    </xf>
    <xf numFmtId="164" fontId="3" fillId="0" borderId="0" xfId="0" applyNumberFormat="1" applyFont="1" applyBorder="1"/>
    <xf numFmtId="0" fontId="4" fillId="0" borderId="11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1" xfId="0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vertical="center" wrapText="1"/>
    </xf>
    <xf numFmtId="0" fontId="0" fillId="0" borderId="2" xfId="0" applyBorder="1" applyAlignment="1">
      <alignment horizontal="center" wrapText="1"/>
    </xf>
    <xf numFmtId="0" fontId="0" fillId="0" borderId="17" xfId="0" applyBorder="1"/>
    <xf numFmtId="0" fontId="0" fillId="0" borderId="17" xfId="0" applyBorder="1" applyAlignment="1">
      <alignment horizontal="right"/>
    </xf>
    <xf numFmtId="0" fontId="3" fillId="0" borderId="17" xfId="0" applyFont="1" applyBorder="1"/>
    <xf numFmtId="0" fontId="3" fillId="0" borderId="2" xfId="0" applyFont="1" applyBorder="1" applyAlignment="1">
      <alignment horizontal="right"/>
    </xf>
    <xf numFmtId="0" fontId="0" fillId="0" borderId="14" xfId="0" applyBorder="1" applyAlignment="1">
      <alignment horizontal="center"/>
    </xf>
    <xf numFmtId="0" fontId="0" fillId="0" borderId="11" xfId="0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3" fillId="0" borderId="2" xfId="0" applyFont="1" applyBorder="1"/>
    <xf numFmtId="164" fontId="3" fillId="0" borderId="2" xfId="0" applyNumberFormat="1" applyFont="1" applyBorder="1"/>
    <xf numFmtId="0" fontId="3" fillId="0" borderId="14" xfId="0" applyFont="1" applyBorder="1"/>
    <xf numFmtId="165" fontId="3" fillId="0" borderId="2" xfId="0" applyNumberFormat="1" applyFont="1" applyBorder="1"/>
    <xf numFmtId="0" fontId="4" fillId="0" borderId="2" xfId="0" applyFont="1" applyBorder="1" applyAlignment="1">
      <alignment horizontal="center" vertical="center"/>
    </xf>
    <xf numFmtId="166" fontId="3" fillId="0" borderId="2" xfId="0" applyNumberFormat="1" applyFont="1" applyBorder="1"/>
    <xf numFmtId="0" fontId="8" fillId="0" borderId="11" xfId="0" applyFont="1" applyBorder="1" applyAlignment="1">
      <alignment horizontal="center"/>
    </xf>
    <xf numFmtId="0" fontId="8" fillId="0" borderId="16" xfId="0" applyFont="1" applyBorder="1" applyAlignment="1">
      <alignment horizontal="center"/>
    </xf>
    <xf numFmtId="10" fontId="3" fillId="0" borderId="2" xfId="1" applyNumberFormat="1" applyFont="1" applyBorder="1"/>
    <xf numFmtId="0" fontId="1" fillId="0" borderId="0" xfId="0" applyFont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3" fillId="0" borderId="0" xfId="0" applyFont="1" applyBorder="1" applyAlignment="1">
      <alignment horizontal="left"/>
    </xf>
    <xf numFmtId="165" fontId="3" fillId="0" borderId="15" xfId="0" applyNumberFormat="1" applyFont="1" applyBorder="1" applyAlignment="1">
      <alignment horizontal="center" vertical="center"/>
    </xf>
    <xf numFmtId="165" fontId="3" fillId="0" borderId="16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0" fillId="0" borderId="14" xfId="0" applyBorder="1" applyAlignment="1">
      <alignment horizont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3" fillId="0" borderId="21" xfId="0" applyFont="1" applyBorder="1" applyAlignment="1">
      <alignment horizontal="center" vertical="center"/>
    </xf>
    <xf numFmtId="10" fontId="3" fillId="0" borderId="15" xfId="1" applyNumberFormat="1" applyFont="1" applyBorder="1" applyAlignment="1">
      <alignment horizontal="center" vertical="center"/>
    </xf>
    <xf numFmtId="10" fontId="3" fillId="0" borderId="16" xfId="1" applyNumberFormat="1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11.png"/><Relationship Id="rId3" Type="http://schemas.openxmlformats.org/officeDocument/2006/relationships/image" Target="../media/image2.png"/><Relationship Id="rId7" Type="http://schemas.openxmlformats.org/officeDocument/2006/relationships/customXml" Target="../ink/ink2.xml"/><Relationship Id="rId2" Type="http://schemas.openxmlformats.org/officeDocument/2006/relationships/image" Target="../media/image9.png"/><Relationship Id="rId1" Type="http://schemas.openxmlformats.org/officeDocument/2006/relationships/image" Target="../media/image3.png"/><Relationship Id="rId6" Type="http://schemas.openxmlformats.org/officeDocument/2006/relationships/image" Target="../media/image10.png"/><Relationship Id="rId5" Type="http://schemas.openxmlformats.org/officeDocument/2006/relationships/customXml" Target="../ink/ink1.xml"/><Relationship Id="rId10" Type="http://schemas.openxmlformats.org/officeDocument/2006/relationships/customXml" Target="../ink/ink4.xml"/><Relationship Id="rId4" Type="http://schemas.openxmlformats.org/officeDocument/2006/relationships/image" Target="../media/image7.png"/><Relationship Id="rId9" Type="http://schemas.openxmlformats.org/officeDocument/2006/relationships/customXml" Target="../ink/ink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9.png"/><Relationship Id="rId1" Type="http://schemas.openxmlformats.org/officeDocument/2006/relationships/image" Target="../media/image3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11</xdr:col>
      <xdr:colOff>485775</xdr:colOff>
      <xdr:row>6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>
          <a:lum bright="-20000" contrast="40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500"/>
          <a:ext cx="6134100" cy="111442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7</xdr:col>
      <xdr:colOff>228600</xdr:colOff>
      <xdr:row>7</xdr:row>
      <xdr:rowOff>95250</xdr:rowOff>
    </xdr:from>
    <xdr:to>
      <xdr:col>7</xdr:col>
      <xdr:colOff>390525</xdr:colOff>
      <xdr:row>9</xdr:row>
      <xdr:rowOff>57150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52725" y="1495425"/>
          <a:ext cx="161925" cy="371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276225</xdr:colOff>
      <xdr:row>9</xdr:row>
      <xdr:rowOff>85725</xdr:rowOff>
    </xdr:from>
    <xdr:to>
      <xdr:col>7</xdr:col>
      <xdr:colOff>438150</xdr:colOff>
      <xdr:row>11</xdr:row>
      <xdr:rowOff>57150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0350" y="1809750"/>
          <a:ext cx="1619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285750</xdr:colOff>
      <xdr:row>11</xdr:row>
      <xdr:rowOff>123825</xdr:rowOff>
    </xdr:from>
    <xdr:to>
      <xdr:col>7</xdr:col>
      <xdr:colOff>419100</xdr:colOff>
      <xdr:row>13</xdr:row>
      <xdr:rowOff>66675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333625"/>
          <a:ext cx="13335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219075</xdr:colOff>
      <xdr:row>13</xdr:row>
      <xdr:rowOff>152401</xdr:rowOff>
    </xdr:from>
    <xdr:to>
      <xdr:col>7</xdr:col>
      <xdr:colOff>438150</xdr:colOff>
      <xdr:row>15</xdr:row>
      <xdr:rowOff>38441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2809876"/>
          <a:ext cx="219075" cy="3051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171450</xdr:colOff>
      <xdr:row>7</xdr:row>
      <xdr:rowOff>152400</xdr:rowOff>
    </xdr:from>
    <xdr:to>
      <xdr:col>10</xdr:col>
      <xdr:colOff>285750</xdr:colOff>
      <xdr:row>9</xdr:row>
      <xdr:rowOff>95250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1552575"/>
          <a:ext cx="114300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285750</xdr:colOff>
      <xdr:row>15</xdr:row>
      <xdr:rowOff>123825</xdr:rowOff>
    </xdr:from>
    <xdr:to>
      <xdr:col>7</xdr:col>
      <xdr:colOff>447675</xdr:colOff>
      <xdr:row>17</xdr:row>
      <xdr:rowOff>85725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3200400"/>
          <a:ext cx="161925" cy="352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85725</xdr:colOff>
      <xdr:row>1</xdr:row>
      <xdr:rowOff>104775</xdr:rowOff>
    </xdr:from>
    <xdr:to>
      <xdr:col>19</xdr:col>
      <xdr:colOff>361950</xdr:colOff>
      <xdr:row>5</xdr:row>
      <xdr:rowOff>142875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304800"/>
          <a:ext cx="5610225" cy="838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257175</xdr:colOff>
      <xdr:row>17</xdr:row>
      <xdr:rowOff>123826</xdr:rowOff>
    </xdr:from>
    <xdr:to>
      <xdr:col>7</xdr:col>
      <xdr:colOff>485775</xdr:colOff>
      <xdr:row>19</xdr:row>
      <xdr:rowOff>5716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81300" y="3609976"/>
          <a:ext cx="228600" cy="2819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361950</xdr:colOff>
      <xdr:row>4</xdr:row>
      <xdr:rowOff>123825</xdr:rowOff>
    </xdr:from>
    <xdr:to>
      <xdr:col>1</xdr:col>
      <xdr:colOff>523875</xdr:colOff>
      <xdr:row>6</xdr:row>
      <xdr:rowOff>95250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0" y="1333500"/>
          <a:ext cx="1619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323850</xdr:colOff>
      <xdr:row>6</xdr:row>
      <xdr:rowOff>123825</xdr:rowOff>
    </xdr:from>
    <xdr:to>
      <xdr:col>1</xdr:col>
      <xdr:colOff>552450</xdr:colOff>
      <xdr:row>8</xdr:row>
      <xdr:rowOff>40352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71850" y="1828800"/>
          <a:ext cx="228600" cy="41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390525</xdr:colOff>
      <xdr:row>2</xdr:row>
      <xdr:rowOff>161925</xdr:rowOff>
    </xdr:from>
    <xdr:to>
      <xdr:col>1</xdr:col>
      <xdr:colOff>552450</xdr:colOff>
      <xdr:row>4</xdr:row>
      <xdr:rowOff>63211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876300"/>
          <a:ext cx="161925" cy="3965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302294</xdr:colOff>
      <xdr:row>8</xdr:row>
      <xdr:rowOff>122321</xdr:rowOff>
    </xdr:from>
    <xdr:to>
      <xdr:col>1</xdr:col>
      <xdr:colOff>454694</xdr:colOff>
      <xdr:row>9</xdr:row>
      <xdr:rowOff>234615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2" b="16736"/>
        <a:stretch/>
      </xdr:blipFill>
      <xdr:spPr bwMode="auto">
        <a:xfrm>
          <a:off x="4112294" y="1932071"/>
          <a:ext cx="152400" cy="357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361950</xdr:colOff>
      <xdr:row>10</xdr:row>
      <xdr:rowOff>190500</xdr:rowOff>
    </xdr:from>
    <xdr:to>
      <xdr:col>1</xdr:col>
      <xdr:colOff>523875</xdr:colOff>
      <xdr:row>12</xdr:row>
      <xdr:rowOff>83127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09950" y="2886075"/>
          <a:ext cx="161925" cy="387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361950</xdr:colOff>
      <xdr:row>4</xdr:row>
      <xdr:rowOff>123825</xdr:rowOff>
    </xdr:from>
    <xdr:to>
      <xdr:col>8</xdr:col>
      <xdr:colOff>523875</xdr:colOff>
      <xdr:row>6</xdr:row>
      <xdr:rowOff>95250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94A8A274-82D1-4C07-BED4-956E47007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957263"/>
          <a:ext cx="161925" cy="471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323850</xdr:colOff>
      <xdr:row>6</xdr:row>
      <xdr:rowOff>123825</xdr:rowOff>
    </xdr:from>
    <xdr:to>
      <xdr:col>8</xdr:col>
      <xdr:colOff>552450</xdr:colOff>
      <xdr:row>8</xdr:row>
      <xdr:rowOff>40352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6F94986B-8D60-4916-8802-FC1A6FF84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85850" y="1457325"/>
          <a:ext cx="228600" cy="416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390525</xdr:colOff>
      <xdr:row>2</xdr:row>
      <xdr:rowOff>161925</xdr:rowOff>
    </xdr:from>
    <xdr:to>
      <xdr:col>8</xdr:col>
      <xdr:colOff>552450</xdr:colOff>
      <xdr:row>4</xdr:row>
      <xdr:rowOff>63211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A0728639-74FB-494B-ABD2-DA0AAC05E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542925"/>
          <a:ext cx="161925" cy="353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302294</xdr:colOff>
      <xdr:row>8</xdr:row>
      <xdr:rowOff>122321</xdr:rowOff>
    </xdr:from>
    <xdr:to>
      <xdr:col>8</xdr:col>
      <xdr:colOff>454694</xdr:colOff>
      <xdr:row>9</xdr:row>
      <xdr:rowOff>234615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6950FAAB-269F-4411-BB44-1503AAB5A7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2" b="16736"/>
        <a:stretch/>
      </xdr:blipFill>
      <xdr:spPr bwMode="auto">
        <a:xfrm>
          <a:off x="1064294" y="1955884"/>
          <a:ext cx="152400" cy="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361950</xdr:colOff>
      <xdr:row>10</xdr:row>
      <xdr:rowOff>190500</xdr:rowOff>
    </xdr:from>
    <xdr:to>
      <xdr:col>8</xdr:col>
      <xdr:colOff>523875</xdr:colOff>
      <xdr:row>12</xdr:row>
      <xdr:rowOff>83127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78CB92D-0C68-4809-BDCC-0C11DDCB1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2524125"/>
          <a:ext cx="161925" cy="392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238474</xdr:colOff>
      <xdr:row>3</xdr:row>
      <xdr:rowOff>118954</xdr:rowOff>
    </xdr:from>
    <xdr:to>
      <xdr:col>7</xdr:col>
      <xdr:colOff>702874</xdr:colOff>
      <xdr:row>3</xdr:row>
      <xdr:rowOff>211834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4" name="Entrada de lápiz 13">
              <a:extLst>
                <a:ext uri="{FF2B5EF4-FFF2-40B4-BE49-F238E27FC236}">
                  <a16:creationId xmlns:a16="http://schemas.microsoft.com/office/drawing/2014/main" id="{266DB9DA-AAF7-4820-9A9A-44047880F2CA}"/>
                </a:ext>
              </a:extLst>
            </xdr14:cNvPr>
            <xdr14:cNvContentPartPr/>
          </xdr14:nvContentPartPr>
          <xdr14:nvPr macro=""/>
          <xdr14:xfrm>
            <a:off x="7679880" y="702360"/>
            <a:ext cx="464400" cy="92880"/>
          </xdr14:xfrm>
        </xdr:contentPart>
      </mc:Choice>
      <mc:Fallback xmlns="">
        <xdr:pic>
          <xdr:nvPicPr>
            <xdr:cNvPr id="14" name="Entrada de lápiz 13">
              <a:extLst>
                <a:ext uri="{FF2B5EF4-FFF2-40B4-BE49-F238E27FC236}">
                  <a16:creationId xmlns:a16="http://schemas.microsoft.com/office/drawing/2014/main" id="{266DB9DA-AAF7-4820-9A9A-44047880F2CA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671240" y="693720"/>
              <a:ext cx="482040" cy="110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23434</xdr:colOff>
      <xdr:row>3</xdr:row>
      <xdr:rowOff>118954</xdr:rowOff>
    </xdr:from>
    <xdr:to>
      <xdr:col>6</xdr:col>
      <xdr:colOff>28474</xdr:colOff>
      <xdr:row>3</xdr:row>
      <xdr:rowOff>119314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5" name="Entrada de lápiz 14">
              <a:extLst>
                <a:ext uri="{FF2B5EF4-FFF2-40B4-BE49-F238E27FC236}">
                  <a16:creationId xmlns:a16="http://schemas.microsoft.com/office/drawing/2014/main" id="{F9441E24-87DC-4C48-B2B2-06FF62C48629}"/>
                </a:ext>
              </a:extLst>
            </xdr14:cNvPr>
            <xdr14:cNvContentPartPr/>
          </xdr14:nvContentPartPr>
          <xdr14:nvPr macro=""/>
          <xdr14:xfrm>
            <a:off x="6702840" y="702360"/>
            <a:ext cx="5040" cy="360"/>
          </xdr14:xfrm>
        </xdr:contentPart>
      </mc:Choice>
      <mc:Fallback xmlns="">
        <xdr:pic>
          <xdr:nvPicPr>
            <xdr:cNvPr id="15" name="Entrada de lápiz 14">
              <a:extLst>
                <a:ext uri="{FF2B5EF4-FFF2-40B4-BE49-F238E27FC236}">
                  <a16:creationId xmlns:a16="http://schemas.microsoft.com/office/drawing/2014/main" id="{F9441E24-87DC-4C48-B2B2-06FF62C48629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694200" y="693720"/>
              <a:ext cx="2268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7</xdr:col>
      <xdr:colOff>238474</xdr:colOff>
      <xdr:row>7</xdr:row>
      <xdr:rowOff>118954</xdr:rowOff>
    </xdr:from>
    <xdr:ext cx="464400" cy="928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16" name="Entrada de lápiz 15">
              <a:extLst>
                <a:ext uri="{FF2B5EF4-FFF2-40B4-BE49-F238E27FC236}">
                  <a16:creationId xmlns:a16="http://schemas.microsoft.com/office/drawing/2014/main" id="{21ABC2A5-8E52-4391-BBFC-D992029461BB}"/>
                </a:ext>
              </a:extLst>
            </xdr14:cNvPr>
            <xdr14:cNvContentPartPr/>
          </xdr14:nvContentPartPr>
          <xdr14:nvPr macro=""/>
          <xdr14:xfrm>
            <a:off x="7679880" y="702360"/>
            <a:ext cx="464400" cy="92880"/>
          </xdr14:xfrm>
        </xdr:contentPart>
      </mc:Choice>
      <mc:Fallback xmlns="">
        <xdr:pic>
          <xdr:nvPicPr>
            <xdr:cNvPr id="16" name="Entrada de lápiz 15">
              <a:extLst>
                <a:ext uri="{FF2B5EF4-FFF2-40B4-BE49-F238E27FC236}">
                  <a16:creationId xmlns:a16="http://schemas.microsoft.com/office/drawing/2014/main" id="{21ABC2A5-8E52-4391-BBFC-D992029461BB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7671240" y="693720"/>
              <a:ext cx="482040" cy="110520"/>
            </a:xfrm>
            <a:prstGeom prst="rect">
              <a:avLst/>
            </a:prstGeom>
          </xdr:spPr>
        </xdr:pic>
      </mc:Fallback>
    </mc:AlternateContent>
    <xdr:clientData/>
  </xdr:oneCellAnchor>
  <xdr:twoCellAnchor>
    <xdr:from>
      <xdr:col>1</xdr:col>
      <xdr:colOff>361950</xdr:colOff>
      <xdr:row>25</xdr:row>
      <xdr:rowOff>123825</xdr:rowOff>
    </xdr:from>
    <xdr:to>
      <xdr:col>1</xdr:col>
      <xdr:colOff>523875</xdr:colOff>
      <xdr:row>27</xdr:row>
      <xdr:rowOff>95250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48287DA8-5221-4F34-9216-3B2AD13B3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957263"/>
          <a:ext cx="161925" cy="4714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264319</xdr:colOff>
      <xdr:row>27</xdr:row>
      <xdr:rowOff>611981</xdr:rowOff>
    </xdr:from>
    <xdr:to>
      <xdr:col>1</xdr:col>
      <xdr:colOff>492919</xdr:colOff>
      <xdr:row>29</xdr:row>
      <xdr:rowOff>52258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15445EF6-AE92-40B5-BA9C-668F0EEAB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14475" y="6993731"/>
          <a:ext cx="228600" cy="4165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390525</xdr:colOff>
      <xdr:row>23</xdr:row>
      <xdr:rowOff>161925</xdr:rowOff>
    </xdr:from>
    <xdr:to>
      <xdr:col>1</xdr:col>
      <xdr:colOff>552450</xdr:colOff>
      <xdr:row>25</xdr:row>
      <xdr:rowOff>63211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27ACFFB2-0BD9-46C7-ABAE-FCC555130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2525" y="542925"/>
          <a:ext cx="161925" cy="3537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302294</xdr:colOff>
      <xdr:row>29</xdr:row>
      <xdr:rowOff>122321</xdr:rowOff>
    </xdr:from>
    <xdr:to>
      <xdr:col>1</xdr:col>
      <xdr:colOff>454694</xdr:colOff>
      <xdr:row>30</xdr:row>
      <xdr:rowOff>234615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E852AA0B-23A6-4C0F-BCC0-15AE9269BE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2" b="16736"/>
        <a:stretch/>
      </xdr:blipFill>
      <xdr:spPr bwMode="auto">
        <a:xfrm>
          <a:off x="1064294" y="1955884"/>
          <a:ext cx="152400" cy="362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361950</xdr:colOff>
      <xdr:row>31</xdr:row>
      <xdr:rowOff>190500</xdr:rowOff>
    </xdr:from>
    <xdr:to>
      <xdr:col>1</xdr:col>
      <xdr:colOff>523875</xdr:colOff>
      <xdr:row>33</xdr:row>
      <xdr:rowOff>83127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4E3E8307-38CA-4ED1-A58F-1ABA44CE8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3950" y="2524125"/>
          <a:ext cx="161925" cy="3926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23434</xdr:colOff>
      <xdr:row>24</xdr:row>
      <xdr:rowOff>118954</xdr:rowOff>
    </xdr:from>
    <xdr:ext cx="504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22" name="Entrada de lápiz 21">
              <a:extLst>
                <a:ext uri="{FF2B5EF4-FFF2-40B4-BE49-F238E27FC236}">
                  <a16:creationId xmlns:a16="http://schemas.microsoft.com/office/drawing/2014/main" id="{6EE1D25E-7E62-4A45-B8D4-E03222543191}"/>
                </a:ext>
              </a:extLst>
            </xdr14:cNvPr>
            <xdr14:cNvContentPartPr/>
          </xdr14:nvContentPartPr>
          <xdr14:nvPr macro=""/>
          <xdr14:xfrm>
            <a:off x="6702840" y="702360"/>
            <a:ext cx="5040" cy="360"/>
          </xdr14:xfrm>
        </xdr:contentPart>
      </mc:Choice>
      <mc:Fallback xmlns="">
        <xdr:pic>
          <xdr:nvPicPr>
            <xdr:cNvPr id="22" name="Entrada de lápiz 21">
              <a:extLst>
                <a:ext uri="{FF2B5EF4-FFF2-40B4-BE49-F238E27FC236}">
                  <a16:creationId xmlns:a16="http://schemas.microsoft.com/office/drawing/2014/main" id="{6EE1D25E-7E62-4A45-B8D4-E03222543191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694200" y="693720"/>
              <a:ext cx="22680" cy="180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361950</xdr:colOff>
      <xdr:row>3</xdr:row>
      <xdr:rowOff>123825</xdr:rowOff>
    </xdr:from>
    <xdr:to>
      <xdr:col>2</xdr:col>
      <xdr:colOff>523875</xdr:colOff>
      <xdr:row>5</xdr:row>
      <xdr:rowOff>95250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717AC332-AD15-4971-9CDB-05A6020C28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0" y="1104900"/>
          <a:ext cx="1619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323850</xdr:colOff>
      <xdr:row>5</xdr:row>
      <xdr:rowOff>123825</xdr:rowOff>
    </xdr:from>
    <xdr:to>
      <xdr:col>2</xdr:col>
      <xdr:colOff>552450</xdr:colOff>
      <xdr:row>7</xdr:row>
      <xdr:rowOff>40352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2CC23217-E176-4DA2-A059-BB6CB73C8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29650" y="1600200"/>
          <a:ext cx="228600" cy="7547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390525</xdr:colOff>
      <xdr:row>2</xdr:row>
      <xdr:rowOff>0</xdr:rowOff>
    </xdr:from>
    <xdr:to>
      <xdr:col>2</xdr:col>
      <xdr:colOff>552450</xdr:colOff>
      <xdr:row>3</xdr:row>
      <xdr:rowOff>63211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E4E26EE1-9DEB-40ED-A9F2-34D886AD2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0"/>
          <a:ext cx="161925" cy="310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302294</xdr:colOff>
      <xdr:row>7</xdr:row>
      <xdr:rowOff>122321</xdr:rowOff>
    </xdr:from>
    <xdr:to>
      <xdr:col>2</xdr:col>
      <xdr:colOff>454694</xdr:colOff>
      <xdr:row>8</xdr:row>
      <xdr:rowOff>234615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5C628946-7883-4F74-A284-05FB11C12F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2" b="16736"/>
        <a:stretch/>
      </xdr:blipFill>
      <xdr:spPr bwMode="auto">
        <a:xfrm>
          <a:off x="8608094" y="2436896"/>
          <a:ext cx="152400" cy="359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361950</xdr:colOff>
      <xdr:row>9</xdr:row>
      <xdr:rowOff>190500</xdr:rowOff>
    </xdr:from>
    <xdr:to>
      <xdr:col>2</xdr:col>
      <xdr:colOff>523875</xdr:colOff>
      <xdr:row>11</xdr:row>
      <xdr:rowOff>83127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DEAF4C92-0164-4A3C-9B77-49A42E27B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667750" y="3000375"/>
          <a:ext cx="161925" cy="387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361950</xdr:colOff>
      <xdr:row>24</xdr:row>
      <xdr:rowOff>123825</xdr:rowOff>
    </xdr:from>
    <xdr:to>
      <xdr:col>2</xdr:col>
      <xdr:colOff>523875</xdr:colOff>
      <xdr:row>26</xdr:row>
      <xdr:rowOff>95250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A68B5CF-0BDA-444C-99B8-ABE118B27A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762000"/>
          <a:ext cx="1619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323850</xdr:colOff>
      <xdr:row>26</xdr:row>
      <xdr:rowOff>123825</xdr:rowOff>
    </xdr:from>
    <xdr:to>
      <xdr:col>2</xdr:col>
      <xdr:colOff>552450</xdr:colOff>
      <xdr:row>28</xdr:row>
      <xdr:rowOff>40352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998A7033-DAAA-4DA7-9A58-D343B2E3B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1257300"/>
          <a:ext cx="228600" cy="4118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390525</xdr:colOff>
      <xdr:row>23</xdr:row>
      <xdr:rowOff>0</xdr:rowOff>
    </xdr:from>
    <xdr:to>
      <xdr:col>2</xdr:col>
      <xdr:colOff>552450</xdr:colOff>
      <xdr:row>24</xdr:row>
      <xdr:rowOff>63211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68426808-C8A2-4527-BE9B-E4A59D613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352425"/>
          <a:ext cx="161925" cy="3489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302294</xdr:colOff>
      <xdr:row>28</xdr:row>
      <xdr:rowOff>122321</xdr:rowOff>
    </xdr:from>
    <xdr:to>
      <xdr:col>2</xdr:col>
      <xdr:colOff>454694</xdr:colOff>
      <xdr:row>29</xdr:row>
      <xdr:rowOff>234615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ADE4055D-978C-4AE6-A04A-8EF6175023D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2" b="16736"/>
        <a:stretch/>
      </xdr:blipFill>
      <xdr:spPr bwMode="auto">
        <a:xfrm>
          <a:off x="1950119" y="1751096"/>
          <a:ext cx="152400" cy="359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361950</xdr:colOff>
      <xdr:row>30</xdr:row>
      <xdr:rowOff>190500</xdr:rowOff>
    </xdr:from>
    <xdr:to>
      <xdr:col>2</xdr:col>
      <xdr:colOff>523875</xdr:colOff>
      <xdr:row>32</xdr:row>
      <xdr:rowOff>83127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8EE0E669-15E2-48C8-B885-0448E26F3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2314575"/>
          <a:ext cx="161925" cy="387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361950</xdr:colOff>
      <xdr:row>63</xdr:row>
      <xdr:rowOff>123825</xdr:rowOff>
    </xdr:from>
    <xdr:to>
      <xdr:col>2</xdr:col>
      <xdr:colOff>523875</xdr:colOff>
      <xdr:row>65</xdr:row>
      <xdr:rowOff>95250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1ACEDB1C-D4A4-47E1-BC2B-3CFCBBED5B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838200"/>
          <a:ext cx="1619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304800</xdr:colOff>
      <xdr:row>65</xdr:row>
      <xdr:rowOff>142875</xdr:rowOff>
    </xdr:from>
    <xdr:to>
      <xdr:col>2</xdr:col>
      <xdr:colOff>533400</xdr:colOff>
      <xdr:row>67</xdr:row>
      <xdr:rowOff>59402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4CFAD368-0984-4174-A2C3-0962B66D5E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2625" y="11601450"/>
          <a:ext cx="228600" cy="5070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390525</xdr:colOff>
      <xdr:row>62</xdr:row>
      <xdr:rowOff>0</xdr:rowOff>
    </xdr:from>
    <xdr:to>
      <xdr:col>2</xdr:col>
      <xdr:colOff>552450</xdr:colOff>
      <xdr:row>63</xdr:row>
      <xdr:rowOff>63211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83810211-B68E-4592-8C7B-274122387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466725"/>
          <a:ext cx="161925" cy="310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302294</xdr:colOff>
      <xdr:row>67</xdr:row>
      <xdr:rowOff>122321</xdr:rowOff>
    </xdr:from>
    <xdr:to>
      <xdr:col>2</xdr:col>
      <xdr:colOff>454694</xdr:colOff>
      <xdr:row>68</xdr:row>
      <xdr:rowOff>234615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2852D056-A80D-4F44-BF30-5B4BF771BB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2" b="16736"/>
        <a:stretch/>
      </xdr:blipFill>
      <xdr:spPr bwMode="auto">
        <a:xfrm>
          <a:off x="1950119" y="1884446"/>
          <a:ext cx="152400" cy="359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361950</xdr:colOff>
      <xdr:row>69</xdr:row>
      <xdr:rowOff>190500</xdr:rowOff>
    </xdr:from>
    <xdr:to>
      <xdr:col>2</xdr:col>
      <xdr:colOff>523875</xdr:colOff>
      <xdr:row>71</xdr:row>
      <xdr:rowOff>83127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19EBC9C5-1A4A-4092-A9B5-48ED81CAA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2447925"/>
          <a:ext cx="161925" cy="387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32657</xdr:colOff>
      <xdr:row>71</xdr:row>
      <xdr:rowOff>28574</xdr:rowOff>
    </xdr:from>
    <xdr:to>
      <xdr:col>9</xdr:col>
      <xdr:colOff>742949</xdr:colOff>
      <xdr:row>76</xdr:row>
      <xdr:rowOff>163285</xdr:rowOff>
    </xdr:to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C70DBC97-2D53-4E67-8F10-F956FB133E5C}"/>
            </a:ext>
          </a:extLst>
        </xdr:cNvPr>
        <xdr:cNvSpPr txBox="1"/>
      </xdr:nvSpPr>
      <xdr:spPr>
        <a:xfrm>
          <a:off x="5910943" y="13418003"/>
          <a:ext cx="2484663" cy="1304925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s-MX" sz="1100"/>
        </a:p>
        <a:p>
          <a:r>
            <a:rPr lang="es-MX" sz="1100"/>
            <a:t>Es probable que</a:t>
          </a:r>
          <a:r>
            <a:rPr lang="es-MX" sz="1100" baseline="0"/>
            <a:t> el gerente este en lo correcto debido al alto nivel porcentual que nos arroja el ejercicio; sin embargo seria buena idea realizar un seguimiento</a:t>
          </a:r>
          <a:endParaRPr lang="es-MX" sz="1100"/>
        </a:p>
      </xdr:txBody>
    </xdr:sp>
    <xdr:clientData/>
  </xdr:twoCellAnchor>
  <xdr:twoCellAnchor>
    <xdr:from>
      <xdr:col>2</xdr:col>
      <xdr:colOff>361950</xdr:colOff>
      <xdr:row>43</xdr:row>
      <xdr:rowOff>123825</xdr:rowOff>
    </xdr:from>
    <xdr:to>
      <xdr:col>2</xdr:col>
      <xdr:colOff>523875</xdr:colOff>
      <xdr:row>45</xdr:row>
      <xdr:rowOff>95250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6D437215-F025-48BC-B50C-527BE99E4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838200"/>
          <a:ext cx="161925" cy="466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323850</xdr:colOff>
      <xdr:row>45</xdr:row>
      <xdr:rowOff>123825</xdr:rowOff>
    </xdr:from>
    <xdr:to>
      <xdr:col>2</xdr:col>
      <xdr:colOff>552450</xdr:colOff>
      <xdr:row>47</xdr:row>
      <xdr:rowOff>40352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C7064387-FD63-49ED-AFF7-D0F2A4134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71675" y="1333500"/>
          <a:ext cx="228600" cy="4689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390525</xdr:colOff>
      <xdr:row>42</xdr:row>
      <xdr:rowOff>0</xdr:rowOff>
    </xdr:from>
    <xdr:to>
      <xdr:col>2</xdr:col>
      <xdr:colOff>552450</xdr:colOff>
      <xdr:row>43</xdr:row>
      <xdr:rowOff>63211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1722D11B-16FB-4C24-8FD9-5EDAB7D5C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8350" y="466725"/>
          <a:ext cx="161925" cy="31086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302294</xdr:colOff>
      <xdr:row>47</xdr:row>
      <xdr:rowOff>122321</xdr:rowOff>
    </xdr:from>
    <xdr:to>
      <xdr:col>2</xdr:col>
      <xdr:colOff>454694</xdr:colOff>
      <xdr:row>48</xdr:row>
      <xdr:rowOff>234615</xdr:rowOff>
    </xdr:to>
    <xdr:pic>
      <xdr:nvPicPr>
        <xdr:cNvPr id="30" name="Imagen 29">
          <a:extLst>
            <a:ext uri="{FF2B5EF4-FFF2-40B4-BE49-F238E27FC236}">
              <a16:creationId xmlns:a16="http://schemas.microsoft.com/office/drawing/2014/main" id="{1DC573E7-42FF-46F7-8A77-DFEBCB7AA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r="33332" b="16736"/>
        <a:stretch/>
      </xdr:blipFill>
      <xdr:spPr bwMode="auto">
        <a:xfrm>
          <a:off x="1950119" y="1884446"/>
          <a:ext cx="152400" cy="3599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361950</xdr:colOff>
      <xdr:row>49</xdr:row>
      <xdr:rowOff>190500</xdr:rowOff>
    </xdr:from>
    <xdr:to>
      <xdr:col>2</xdr:col>
      <xdr:colOff>523875</xdr:colOff>
      <xdr:row>51</xdr:row>
      <xdr:rowOff>83127</xdr:rowOff>
    </xdr:to>
    <xdr:pic>
      <xdr:nvPicPr>
        <xdr:cNvPr id="31" name="Imagen 30">
          <a:extLst>
            <a:ext uri="{FF2B5EF4-FFF2-40B4-BE49-F238E27FC236}">
              <a16:creationId xmlns:a16="http://schemas.microsoft.com/office/drawing/2014/main" id="{23DF77DE-7889-4C31-9C03-D0D93902BC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9775" y="2447925"/>
          <a:ext cx="161925" cy="3879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8</xdr:col>
      <xdr:colOff>38100</xdr:colOff>
      <xdr:row>55</xdr:row>
      <xdr:rowOff>152400</xdr:rowOff>
    </xdr:from>
    <xdr:to>
      <xdr:col>8</xdr:col>
      <xdr:colOff>714375</xdr:colOff>
      <xdr:row>56</xdr:row>
      <xdr:rowOff>133350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2B7291E2-C561-492A-AD53-43295EFD6924}"/>
            </a:ext>
          </a:extLst>
        </xdr:cNvPr>
        <xdr:cNvSpPr txBox="1"/>
      </xdr:nvSpPr>
      <xdr:spPr>
        <a:xfrm>
          <a:off x="7696200" y="13820775"/>
          <a:ext cx="676275" cy="228600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Utiles</a:t>
          </a:r>
        </a:p>
      </xdr:txBody>
    </xdr:sp>
    <xdr:clientData/>
  </xdr:twoCellAnchor>
  <xdr:twoCellAnchor>
    <xdr:from>
      <xdr:col>7</xdr:col>
      <xdr:colOff>209550</xdr:colOff>
      <xdr:row>52</xdr:row>
      <xdr:rowOff>0</xdr:rowOff>
    </xdr:from>
    <xdr:to>
      <xdr:col>7</xdr:col>
      <xdr:colOff>1600200</xdr:colOff>
      <xdr:row>52</xdr:row>
      <xdr:rowOff>247649</xdr:rowOff>
    </xdr:to>
    <xdr:sp macro="" textlink="">
      <xdr:nvSpPr>
        <xdr:cNvPr id="4" name="CuadroTexto 3">
          <a:extLst>
            <a:ext uri="{FF2B5EF4-FFF2-40B4-BE49-F238E27FC236}">
              <a16:creationId xmlns:a16="http://schemas.microsoft.com/office/drawing/2014/main" id="{C91C7FE5-FACD-45AB-B499-865E5F694238}"/>
            </a:ext>
          </a:extLst>
        </xdr:cNvPr>
        <xdr:cNvSpPr txBox="1"/>
      </xdr:nvSpPr>
      <xdr:spPr>
        <a:xfrm>
          <a:off x="6134100" y="12925425"/>
          <a:ext cx="1390650" cy="247649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Será reprocesado</a:t>
          </a:r>
        </a:p>
      </xdr:txBody>
    </xdr:sp>
    <xdr:clientData/>
  </xdr:twoCellAnchor>
  <xdr:twoCellAnchor>
    <xdr:from>
      <xdr:col>7</xdr:col>
      <xdr:colOff>200025</xdr:colOff>
      <xdr:row>53</xdr:row>
      <xdr:rowOff>28575</xdr:rowOff>
    </xdr:from>
    <xdr:to>
      <xdr:col>7</xdr:col>
      <xdr:colOff>1599197</xdr:colOff>
      <xdr:row>53</xdr:row>
      <xdr:rowOff>240631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F38EB016-D412-4FA5-983A-90A313F22EF3}"/>
            </a:ext>
          </a:extLst>
        </xdr:cNvPr>
        <xdr:cNvSpPr txBox="1"/>
      </xdr:nvSpPr>
      <xdr:spPr>
        <a:xfrm>
          <a:off x="6130591" y="13137983"/>
          <a:ext cx="1399172" cy="212056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MX" sz="1100" b="1"/>
            <a:t>Será desechado</a:t>
          </a:r>
        </a:p>
      </xdr:txBody>
    </xdr:sp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30T01:17:19.882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1289 33,'-34'11,"9"-2,-70 9,-1-4,-1-4,-136-5,191-3,-77 13,73-7,-49 1,61-9</inkml:trace>
  <inkml:trace contextRef="#ctx0" brushRef="#br0" timeOffset="2683.55">263 1,'0'2,"-1"0,1 0,-1 0,1 1,-1-1,0 0,0 0,0 0,0 0,0 0,-1 0,1-1,-1 1,1 0,-1-1,-3 4,-36 23,22-15,-151 117,170-130,-1 0,0 1,1-1,-1 0,0 1,1-1,-1 0,1 1,-1-1,1 1,-1-1,1 1,-1-1,1 1,-1 0,1-1,0 1,-1 0,1-1,0 1,0 0,-1-1,1 1,0 0,0-1,0 1,0 0,0-1,0 1,0 0,0 1,1-2,0 1,0 0,1 0,-1 0,0-1,0 1,0-1,1 1,-1-1,0 1,1-1,-1 0,0 1,4-1,64 1,-59-2,36-1,-33 0,0 1,0 0,0 1,0 0,0 1,0 1,0 0,-1 0,15 6,-4 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30T01:17:27.61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1,'6'0,"1"0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30T01:19:36.446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1289 33,'-34'11,"9"-2,-70 9,-1-4,-1-4,-136-5,191-3,-77 13,73-7,-49 1,61-9</inkml:trace>
  <inkml:trace contextRef="#ctx0" brushRef="#br0" timeOffset="1">263 1,'0'2,"-1"0,1 0,-1 0,1 1,-1-1,0 0,0 0,0 0,0 0,0 0,-1 0,1-1,-1 1,1 0,-1-1,-3 4,-36 23,22-15,-151 117,170-130,-1 0,0 1,1-1,-1 0,0 1,1-1,-1 0,1 1,-1-1,1 1,-1-1,1 1,-1-1,1 1,-1 0,1-1,0 1,-1 0,1-1,0 1,0 0,-1-1,1 1,0 0,0-1,0 1,0 0,0-1,0 1,0 0,0 1,1-2,0 1,0 0,1 0,-1 0,0-1,0 1,0-1,1 1,-1-1,0 1,1-1,-1 0,0 1,4-1,64 1,-59-2,36-1,-33 0,0 1,0 0,0 1,0 0,0 1,0 1,0 0,-1 0,15 6,-4 6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08-30T01:23:25.977"/>
    </inkml:context>
    <inkml:brush xml:id="br0">
      <inkml:brushProperty name="width" value="0.05" units="cm"/>
      <inkml:brushProperty name="height" value="0.05" units="cm"/>
      <inkml:brushProperty name="ignorePressure" value="1"/>
    </inkml:brush>
  </inkml:definitions>
  <inkml:trace contextRef="#ctx0" brushRef="#br0">1 1,'6'0,"1"0</inkml:trace>
</inkml: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19"/>
  <sheetViews>
    <sheetView topLeftCell="A4" zoomScale="130" zoomScaleNormal="130" workbookViewId="0">
      <selection activeCell="A9" sqref="A9"/>
    </sheetView>
  </sheetViews>
  <sheetFormatPr baseColWidth="10" defaultRowHeight="15.75" x14ac:dyDescent="0.25"/>
  <cols>
    <col min="1" max="1" width="11.42578125" style="1"/>
    <col min="2" max="6" width="3" style="1" bestFit="1" customWidth="1"/>
    <col min="7" max="8" width="11.42578125" style="1"/>
    <col min="9" max="9" width="11.42578125" style="11"/>
    <col min="10" max="10" width="11.42578125" style="1"/>
    <col min="11" max="11" width="12.5703125" style="1" customWidth="1"/>
    <col min="12" max="16384" width="11.42578125" style="1"/>
  </cols>
  <sheetData>
    <row r="1" spans="2:20" x14ac:dyDescent="0.25">
      <c r="L1" s="57"/>
      <c r="M1" s="57"/>
      <c r="N1" s="57"/>
      <c r="O1" s="57"/>
      <c r="P1" s="57"/>
      <c r="Q1" s="57"/>
      <c r="R1" s="57"/>
      <c r="S1" s="57"/>
      <c r="T1" s="57"/>
    </row>
    <row r="2" spans="2:20" x14ac:dyDescent="0.25">
      <c r="L2" s="57"/>
      <c r="M2" s="57"/>
      <c r="N2" s="57"/>
      <c r="O2" s="57"/>
      <c r="P2" s="57"/>
      <c r="Q2" s="57"/>
      <c r="R2" s="57"/>
      <c r="S2" s="57"/>
      <c r="T2" s="57"/>
    </row>
    <row r="3" spans="2:20" x14ac:dyDescent="0.25">
      <c r="L3" s="57"/>
      <c r="M3" s="57"/>
      <c r="N3" s="57"/>
      <c r="O3" s="57"/>
      <c r="P3" s="57"/>
      <c r="Q3" s="57"/>
      <c r="R3" s="57"/>
      <c r="S3" s="57"/>
      <c r="T3" s="57"/>
    </row>
    <row r="4" spans="2:20" x14ac:dyDescent="0.25">
      <c r="L4" s="57"/>
      <c r="M4" s="57"/>
      <c r="N4" s="57"/>
      <c r="O4" s="57"/>
      <c r="P4" s="57"/>
      <c r="Q4" s="57"/>
      <c r="R4" s="57"/>
      <c r="S4" s="57"/>
      <c r="T4" s="57"/>
    </row>
    <row r="5" spans="2:20" x14ac:dyDescent="0.25">
      <c r="L5" s="57"/>
      <c r="M5" s="57"/>
      <c r="N5" s="57"/>
      <c r="O5" s="57"/>
      <c r="P5" s="57"/>
      <c r="Q5" s="57"/>
      <c r="R5" s="57"/>
      <c r="S5" s="57"/>
      <c r="T5" s="57"/>
    </row>
    <row r="6" spans="2:20" x14ac:dyDescent="0.25">
      <c r="L6" s="57"/>
      <c r="M6" s="57"/>
      <c r="N6" s="57"/>
      <c r="O6" s="57"/>
      <c r="P6" s="57"/>
      <c r="Q6" s="57"/>
      <c r="R6" s="57"/>
      <c r="S6" s="57"/>
      <c r="T6" s="57"/>
    </row>
    <row r="8" spans="2:20" ht="16.5" customHeight="1" thickBot="1" x14ac:dyDescent="0.3">
      <c r="H8" s="57" t="s">
        <v>0</v>
      </c>
      <c r="I8" s="57"/>
    </row>
    <row r="9" spans="2:20" ht="16.5" thickBot="1" x14ac:dyDescent="0.3">
      <c r="B9" s="2">
        <v>12</v>
      </c>
      <c r="C9" s="3">
        <v>16</v>
      </c>
      <c r="D9" s="3">
        <v>21</v>
      </c>
      <c r="E9" s="3">
        <v>20</v>
      </c>
      <c r="F9" s="4">
        <v>24</v>
      </c>
      <c r="H9" s="13"/>
      <c r="I9" s="16"/>
      <c r="K9" s="12"/>
      <c r="L9" s="12"/>
      <c r="N9" s="12"/>
      <c r="O9" s="12"/>
    </row>
    <row r="10" spans="2:20" ht="16.5" thickBot="1" x14ac:dyDescent="0.3">
      <c r="B10" s="5">
        <v>3</v>
      </c>
      <c r="C10" s="6">
        <v>11</v>
      </c>
      <c r="D10" s="6">
        <v>17</v>
      </c>
      <c r="E10" s="6">
        <v>29</v>
      </c>
      <c r="F10" s="7">
        <v>18</v>
      </c>
      <c r="I10" s="17"/>
    </row>
    <row r="11" spans="2:20" ht="16.5" thickBot="1" x14ac:dyDescent="0.3">
      <c r="B11" s="5">
        <v>26</v>
      </c>
      <c r="C11" s="6">
        <v>4</v>
      </c>
      <c r="D11" s="6">
        <v>7</v>
      </c>
      <c r="E11" s="6">
        <v>14</v>
      </c>
      <c r="F11" s="7">
        <v>25</v>
      </c>
      <c r="H11" s="14"/>
      <c r="I11" s="16"/>
      <c r="K11" s="12"/>
    </row>
    <row r="12" spans="2:20" ht="16.5" thickBot="1" x14ac:dyDescent="0.3">
      <c r="B12" s="8">
        <v>1</v>
      </c>
      <c r="C12" s="9">
        <v>27</v>
      </c>
      <c r="D12" s="9">
        <v>15</v>
      </c>
      <c r="E12" s="9">
        <v>16</v>
      </c>
      <c r="F12" s="10">
        <v>5</v>
      </c>
      <c r="I12" s="17"/>
      <c r="K12" s="12"/>
      <c r="L12" s="12"/>
    </row>
    <row r="13" spans="2:20" ht="16.5" thickBot="1" x14ac:dyDescent="0.3">
      <c r="H13" s="15"/>
      <c r="I13" s="16"/>
      <c r="K13" s="12"/>
      <c r="L13" s="12"/>
    </row>
    <row r="14" spans="2:20" ht="16.5" thickBot="1" x14ac:dyDescent="0.3">
      <c r="I14" s="17"/>
      <c r="K14" s="19"/>
    </row>
    <row r="15" spans="2:20" ht="16.5" thickBot="1" x14ac:dyDescent="0.3">
      <c r="H15" s="13"/>
      <c r="I15" s="16"/>
    </row>
    <row r="16" spans="2:20" thickBot="1" x14ac:dyDescent="0.3">
      <c r="I16" s="18"/>
    </row>
    <row r="17" spans="8:9" ht="16.5" thickBot="1" x14ac:dyDescent="0.3">
      <c r="H17" s="15"/>
      <c r="I17" s="16"/>
    </row>
    <row r="18" spans="8:9" ht="16.5" thickBot="1" x14ac:dyDescent="0.3">
      <c r="I18" s="17"/>
    </row>
    <row r="19" spans="8:9" ht="16.5" thickBot="1" x14ac:dyDescent="0.3">
      <c r="H19" s="15"/>
      <c r="I19" s="16"/>
    </row>
  </sheetData>
  <mergeCells count="2">
    <mergeCell ref="L1:T6"/>
    <mergeCell ref="H8:I8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P41"/>
  <sheetViews>
    <sheetView topLeftCell="A7" zoomScale="80" zoomScaleNormal="80" workbookViewId="0">
      <selection activeCell="F15" sqref="F15"/>
    </sheetView>
  </sheetViews>
  <sheetFormatPr baseColWidth="10" defaultRowHeight="15" x14ac:dyDescent="0.25"/>
  <cols>
    <col min="1" max="1" width="18.7109375" customWidth="1"/>
    <col min="3" max="3" width="17.5703125" style="28" bestFit="1" customWidth="1"/>
    <col min="4" max="4" width="13.85546875" customWidth="1"/>
    <col min="5" max="5" width="18" bestFit="1" customWidth="1"/>
    <col min="6" max="6" width="16.42578125" customWidth="1"/>
    <col min="7" max="7" width="17.140625" bestFit="1" customWidth="1"/>
    <col min="10" max="10" width="17.5703125" style="28" bestFit="1" customWidth="1"/>
    <col min="11" max="11" width="13.85546875" customWidth="1"/>
    <col min="12" max="12" width="18" bestFit="1" customWidth="1"/>
    <col min="13" max="13" width="16.42578125" bestFit="1" customWidth="1"/>
    <col min="14" max="14" width="13.42578125" bestFit="1" customWidth="1"/>
  </cols>
  <sheetData>
    <row r="2" spans="1:14" x14ac:dyDescent="0.25">
      <c r="B2" s="25" t="s">
        <v>10</v>
      </c>
      <c r="C2" s="57" t="s">
        <v>11</v>
      </c>
      <c r="D2" s="57"/>
      <c r="I2" s="25" t="s">
        <v>10</v>
      </c>
      <c r="J2" s="57" t="s">
        <v>13</v>
      </c>
      <c r="K2" s="57"/>
    </row>
    <row r="3" spans="1:14" ht="15.75" thickBot="1" x14ac:dyDescent="0.3"/>
    <row r="4" spans="1:14" ht="31.5" thickBot="1" x14ac:dyDescent="0.35">
      <c r="A4" s="20"/>
      <c r="B4" s="21"/>
      <c r="C4" s="32">
        <v>16.100000000000001</v>
      </c>
      <c r="D4" s="20"/>
      <c r="E4" s="20"/>
      <c r="F4" s="20"/>
      <c r="G4" s="40" t="s">
        <v>14</v>
      </c>
      <c r="H4" s="20"/>
      <c r="I4" s="21"/>
      <c r="J4" s="32">
        <v>16.100000000000001</v>
      </c>
      <c r="K4" s="20"/>
      <c r="L4" s="20"/>
      <c r="M4" s="20"/>
      <c r="N4" s="20"/>
    </row>
    <row r="5" spans="1:14" ht="19.5" thickBot="1" x14ac:dyDescent="0.35">
      <c r="A5" s="20"/>
      <c r="B5" s="20"/>
      <c r="C5" s="29"/>
      <c r="D5" s="20"/>
      <c r="E5" s="20"/>
      <c r="F5" s="20"/>
      <c r="G5" s="20"/>
      <c r="H5" s="20"/>
      <c r="I5" s="20"/>
      <c r="J5" s="29"/>
      <c r="K5" s="20"/>
      <c r="L5" s="20"/>
      <c r="M5" s="20"/>
      <c r="N5" s="20"/>
    </row>
    <row r="6" spans="1:14" ht="19.5" thickBot="1" x14ac:dyDescent="0.35">
      <c r="A6" s="20"/>
      <c r="B6" s="21"/>
      <c r="C6" s="32">
        <v>200</v>
      </c>
      <c r="D6" s="20"/>
      <c r="E6" s="22"/>
      <c r="F6" s="23"/>
      <c r="G6" s="23"/>
      <c r="H6" s="20"/>
      <c r="I6" s="21"/>
      <c r="J6" s="32">
        <v>200</v>
      </c>
      <c r="K6" s="20"/>
      <c r="L6" s="22"/>
      <c r="M6" s="23"/>
      <c r="N6" s="23"/>
    </row>
    <row r="7" spans="1:14" ht="19.5" thickBot="1" x14ac:dyDescent="0.35">
      <c r="A7" s="20"/>
      <c r="B7" s="20"/>
      <c r="C7" s="29"/>
      <c r="D7" s="20"/>
      <c r="E7" s="60"/>
      <c r="F7" s="60"/>
      <c r="G7" s="23"/>
      <c r="H7" s="20"/>
      <c r="I7" s="20"/>
      <c r="J7" s="29"/>
      <c r="K7" s="20"/>
      <c r="L7" s="60"/>
      <c r="M7" s="60"/>
      <c r="N7" s="23"/>
    </row>
    <row r="8" spans="1:14" ht="46.5" thickBot="1" x14ac:dyDescent="0.35">
      <c r="A8" s="20"/>
      <c r="B8" s="21"/>
      <c r="C8" s="32">
        <f>C10/SQRT(C6)</f>
        <v>8.4852813742385694E-2</v>
      </c>
      <c r="D8" s="20"/>
      <c r="E8" s="60"/>
      <c r="F8" s="60"/>
      <c r="G8" s="40" t="s">
        <v>15</v>
      </c>
      <c r="H8" s="20"/>
      <c r="I8" s="21"/>
      <c r="J8" s="32">
        <f>J10/SQRT(J6)</f>
        <v>8.4852813742385694E-2</v>
      </c>
      <c r="K8" s="35">
        <f>SQRT(((J9-J6)/(J9-1)))</f>
        <v>0.91325152995444625</v>
      </c>
      <c r="L8" s="61">
        <f>J8*K8</f>
        <v>7.7491961971173404E-2</v>
      </c>
      <c r="M8" s="61"/>
      <c r="N8" s="23"/>
    </row>
    <row r="9" spans="1:14" ht="19.5" thickBot="1" x14ac:dyDescent="0.35">
      <c r="A9" s="20"/>
      <c r="B9" s="20"/>
      <c r="C9" s="29"/>
      <c r="D9" s="20"/>
      <c r="E9" s="20"/>
      <c r="F9" s="20"/>
      <c r="G9" s="20"/>
      <c r="H9" s="20"/>
      <c r="I9" s="34" t="s">
        <v>12</v>
      </c>
      <c r="J9" s="32">
        <v>1200</v>
      </c>
      <c r="K9" s="20"/>
      <c r="L9" s="20"/>
      <c r="M9" s="20"/>
      <c r="N9" s="20"/>
    </row>
    <row r="10" spans="1:14" ht="19.5" thickBot="1" x14ac:dyDescent="0.35">
      <c r="A10" s="20"/>
      <c r="B10" s="21"/>
      <c r="C10" s="32">
        <v>1.2</v>
      </c>
      <c r="D10" s="20"/>
      <c r="E10" s="20"/>
      <c r="F10" s="20"/>
      <c r="G10" s="20"/>
      <c r="H10" s="20"/>
      <c r="I10" s="21"/>
      <c r="J10" s="32">
        <v>1.2</v>
      </c>
      <c r="K10" s="20"/>
      <c r="L10" s="20"/>
      <c r="M10" s="20"/>
      <c r="N10" s="20"/>
    </row>
    <row r="11" spans="1:14" ht="19.5" thickBot="1" x14ac:dyDescent="0.35">
      <c r="A11" s="20"/>
      <c r="B11" s="20"/>
      <c r="C11" s="30"/>
      <c r="D11" s="20"/>
      <c r="E11" s="20"/>
      <c r="F11" s="20"/>
      <c r="G11" s="20"/>
      <c r="H11" s="20"/>
      <c r="I11" s="20"/>
      <c r="J11" s="30"/>
      <c r="K11" s="20"/>
      <c r="L11" s="20"/>
      <c r="M11" s="20"/>
      <c r="N11" s="20"/>
    </row>
    <row r="12" spans="1:14" ht="19.5" thickBot="1" x14ac:dyDescent="0.35">
      <c r="A12" s="20"/>
      <c r="B12" s="21"/>
      <c r="C12" s="31"/>
      <c r="D12" s="32">
        <v>16.27</v>
      </c>
      <c r="E12" s="32">
        <v>15.93</v>
      </c>
      <c r="F12" s="32">
        <v>15.9</v>
      </c>
      <c r="G12" s="32">
        <v>16.3</v>
      </c>
      <c r="H12" s="20"/>
      <c r="I12" s="21"/>
      <c r="J12" s="31"/>
      <c r="K12" s="32">
        <v>16.27</v>
      </c>
      <c r="L12" s="32">
        <v>15.93</v>
      </c>
      <c r="M12" s="32">
        <v>15.9</v>
      </c>
      <c r="N12" s="32">
        <v>16.3</v>
      </c>
    </row>
    <row r="13" spans="1:14" ht="19.5" thickBot="1" x14ac:dyDescent="0.35">
      <c r="A13" s="20"/>
      <c r="B13" s="20"/>
      <c r="C13" s="30"/>
      <c r="D13" s="20"/>
      <c r="E13" s="23"/>
      <c r="F13" s="23"/>
      <c r="G13" s="20"/>
      <c r="H13" s="20"/>
      <c r="I13" s="20"/>
      <c r="J13" s="30"/>
      <c r="K13" s="20"/>
      <c r="L13" s="23"/>
      <c r="M13" s="23"/>
      <c r="N13" s="20"/>
    </row>
    <row r="14" spans="1:14" ht="19.5" thickBot="1" x14ac:dyDescent="0.35">
      <c r="A14" s="20" t="s">
        <v>2</v>
      </c>
      <c r="B14" s="58" t="s">
        <v>3</v>
      </c>
      <c r="C14" s="59"/>
      <c r="D14" s="24" t="s">
        <v>4</v>
      </c>
      <c r="E14" s="23">
        <f>(E12-C4)/(C8)</f>
        <v>-2.003469213361905</v>
      </c>
      <c r="F14" s="23">
        <f>1-NORMSDIST(E14)</f>
        <v>0.97743652555566307</v>
      </c>
      <c r="G14" s="20"/>
      <c r="H14" s="20" t="s">
        <v>2</v>
      </c>
      <c r="I14" s="58" t="s">
        <v>3</v>
      </c>
      <c r="J14" s="59"/>
      <c r="K14" s="24" t="s">
        <v>4</v>
      </c>
      <c r="L14" s="23">
        <f>(L12-J4)/(L8)</f>
        <v>-2.1937759178589489</v>
      </c>
      <c r="M14" s="23">
        <f>1-NORMSDIST(L14)</f>
        <v>0.98587423854047684</v>
      </c>
      <c r="N14" s="20"/>
    </row>
    <row r="15" spans="1:14" ht="19.5" thickBot="1" x14ac:dyDescent="0.35">
      <c r="A15" s="20" t="s">
        <v>5</v>
      </c>
      <c r="B15" s="58" t="s">
        <v>1</v>
      </c>
      <c r="C15" s="59"/>
      <c r="D15" s="24" t="s">
        <v>4</v>
      </c>
      <c r="E15" s="23">
        <f>(D12-C4)/(C8)</f>
        <v>2.0034692133618632</v>
      </c>
      <c r="F15" s="33">
        <f>NORMSDIST(E15)</f>
        <v>0.97743652555566074</v>
      </c>
      <c r="G15" s="20"/>
      <c r="H15" s="20" t="s">
        <v>5</v>
      </c>
      <c r="I15" s="58" t="s">
        <v>1</v>
      </c>
      <c r="J15" s="59"/>
      <c r="K15" s="24" t="s">
        <v>4</v>
      </c>
      <c r="L15" s="23">
        <f>(K12-J4)/(L8)</f>
        <v>2.1937759178589031</v>
      </c>
      <c r="M15" s="33">
        <f>NORMSDIST(L15)</f>
        <v>0.98587423854047518</v>
      </c>
      <c r="N15" s="20"/>
    </row>
    <row r="16" spans="1:14" ht="18.75" x14ac:dyDescent="0.3">
      <c r="A16" s="20"/>
      <c r="B16" s="20"/>
      <c r="C16" s="30"/>
      <c r="D16" s="20"/>
      <c r="E16" s="20"/>
      <c r="F16" s="20"/>
      <c r="G16" s="20"/>
      <c r="H16" s="20"/>
      <c r="I16" s="20"/>
      <c r="J16" s="30"/>
      <c r="K16" s="20"/>
      <c r="L16" s="20"/>
      <c r="M16" s="20"/>
      <c r="N16" s="20"/>
    </row>
    <row r="17" spans="1:16" ht="19.5" thickBot="1" x14ac:dyDescent="0.35">
      <c r="A17" s="20"/>
      <c r="B17" s="20"/>
      <c r="C17" s="30"/>
      <c r="D17" s="20"/>
      <c r="E17" s="20"/>
      <c r="F17" s="20"/>
      <c r="G17" s="20"/>
      <c r="H17" s="20"/>
      <c r="I17" s="20"/>
      <c r="J17" s="30"/>
      <c r="K17" s="20"/>
      <c r="L17" s="20"/>
      <c r="M17" s="20"/>
      <c r="N17" s="20"/>
    </row>
    <row r="18" spans="1:16" ht="19.5" thickBot="1" x14ac:dyDescent="0.35">
      <c r="A18" s="20" t="s">
        <v>6</v>
      </c>
      <c r="B18" s="58" t="s">
        <v>7</v>
      </c>
      <c r="C18" s="59"/>
      <c r="D18" s="24" t="s">
        <v>8</v>
      </c>
      <c r="E18" s="20">
        <f>(G12-C4)/C8</f>
        <v>2.3570226039551505</v>
      </c>
      <c r="F18" s="20">
        <f>NORMSDIST(E18)</f>
        <v>0.99078893727295025</v>
      </c>
      <c r="G18" s="64">
        <f>F18-F19</f>
        <v>0.98157787454590106</v>
      </c>
      <c r="H18" s="20" t="s">
        <v>6</v>
      </c>
      <c r="I18" s="26" t="s">
        <v>7</v>
      </c>
      <c r="J18" s="27"/>
      <c r="K18" s="24" t="s">
        <v>8</v>
      </c>
      <c r="L18" s="20">
        <f>(N12-J4)/L8</f>
        <v>2.5809128445399048</v>
      </c>
      <c r="M18" s="20">
        <f>NORMSDIST(L18)</f>
        <v>0.99507302721601865</v>
      </c>
      <c r="N18" s="62">
        <f>M18-M19</f>
        <v>0.99014605443203763</v>
      </c>
    </row>
    <row r="19" spans="1:16" ht="19.5" thickBot="1" x14ac:dyDescent="0.35">
      <c r="A19" s="20"/>
      <c r="B19" s="20"/>
      <c r="C19" s="30"/>
      <c r="D19" s="24" t="s">
        <v>9</v>
      </c>
      <c r="E19" s="20">
        <f>(F12-C4)/(C8)</f>
        <v>-2.3570226039551714</v>
      </c>
      <c r="F19" s="20">
        <f>NORMSDIST(E19)</f>
        <v>9.2110627270491838E-3</v>
      </c>
      <c r="G19" s="65"/>
      <c r="H19" s="20"/>
      <c r="I19" s="20"/>
      <c r="J19" s="30"/>
      <c r="K19" s="24" t="s">
        <v>9</v>
      </c>
      <c r="L19" s="20">
        <f>(M12-J4)/(L8)</f>
        <v>-2.5809128445399279</v>
      </c>
      <c r="M19" s="20">
        <f>NORMSDIST(L19)</f>
        <v>4.9269727839810692E-3</v>
      </c>
      <c r="N19" s="63"/>
    </row>
    <row r="20" spans="1:16" ht="19.5" thickBot="1" x14ac:dyDescent="0.35">
      <c r="F20" s="20"/>
      <c r="G20" s="20"/>
      <c r="M20" s="20"/>
      <c r="N20" s="20"/>
    </row>
    <row r="21" spans="1:16" s="41" customFormat="1" ht="6" customHeight="1" thickBot="1" x14ac:dyDescent="0.35">
      <c r="A21" s="15"/>
      <c r="C21" s="42"/>
      <c r="F21" s="43"/>
      <c r="G21" s="43"/>
      <c r="J21" s="42"/>
      <c r="M21" s="43"/>
      <c r="N21" s="43"/>
    </row>
    <row r="23" spans="1:16" x14ac:dyDescent="0.25">
      <c r="B23" s="25" t="s">
        <v>10</v>
      </c>
      <c r="C23" s="57" t="s">
        <v>16</v>
      </c>
      <c r="D23" s="57"/>
      <c r="H23" s="36">
        <v>5.5</v>
      </c>
      <c r="I23" s="36">
        <v>2.6</v>
      </c>
      <c r="J23" s="36">
        <v>2.8</v>
      </c>
      <c r="K23" s="36">
        <v>4.8</v>
      </c>
      <c r="L23" s="36">
        <v>2.5</v>
      </c>
      <c r="M23" s="36">
        <v>5.3</v>
      </c>
      <c r="N23" s="36">
        <v>6.3</v>
      </c>
      <c r="O23" s="36">
        <v>3</v>
      </c>
      <c r="P23" s="36">
        <v>5.2</v>
      </c>
    </row>
    <row r="24" spans="1:16" ht="15.75" thickBot="1" x14ac:dyDescent="0.3">
      <c r="H24" s="36">
        <v>7.5</v>
      </c>
      <c r="I24" s="36">
        <v>4.8</v>
      </c>
      <c r="J24" s="36">
        <v>5.9</v>
      </c>
      <c r="K24" s="36">
        <v>3.5</v>
      </c>
      <c r="L24" s="36">
        <v>4.5</v>
      </c>
      <c r="M24" s="36">
        <v>8.9</v>
      </c>
      <c r="N24" s="36">
        <v>6.4</v>
      </c>
      <c r="O24" s="36">
        <v>3.5</v>
      </c>
      <c r="P24" s="36">
        <v>6</v>
      </c>
    </row>
    <row r="25" spans="1:16" ht="19.5" thickBot="1" x14ac:dyDescent="0.35">
      <c r="A25" s="20"/>
      <c r="B25" s="21"/>
      <c r="C25" s="37">
        <v>5.9</v>
      </c>
      <c r="D25" s="20"/>
      <c r="H25" s="36">
        <v>6.1</v>
      </c>
      <c r="I25" s="36">
        <v>2.4</v>
      </c>
      <c r="J25" s="36">
        <v>6</v>
      </c>
      <c r="K25" s="36">
        <v>8.5</v>
      </c>
      <c r="L25" s="36">
        <v>5.6</v>
      </c>
      <c r="M25" s="36">
        <v>3.9</v>
      </c>
      <c r="N25" s="36">
        <v>6</v>
      </c>
      <c r="O25" s="36">
        <v>4</v>
      </c>
      <c r="P25" s="36">
        <v>7.3</v>
      </c>
    </row>
    <row r="26" spans="1:16" ht="19.5" thickBot="1" x14ac:dyDescent="0.35">
      <c r="A26" s="20"/>
      <c r="B26" s="21"/>
      <c r="C26" s="37"/>
      <c r="D26" s="20"/>
      <c r="H26" s="36">
        <v>5.8</v>
      </c>
      <c r="I26" s="36">
        <v>8.1999999999999993</v>
      </c>
      <c r="J26" s="36">
        <v>7.8</v>
      </c>
      <c r="K26" s="36">
        <v>4.3</v>
      </c>
      <c r="L26" s="36">
        <v>4.4000000000000004</v>
      </c>
      <c r="M26" s="36">
        <v>6.8</v>
      </c>
      <c r="N26" s="36">
        <v>6</v>
      </c>
      <c r="O26" s="36">
        <v>3.3</v>
      </c>
      <c r="P26" s="36">
        <v>8.4</v>
      </c>
    </row>
    <row r="27" spans="1:16" ht="19.5" thickBot="1" x14ac:dyDescent="0.35">
      <c r="A27" s="20"/>
      <c r="B27" s="21"/>
      <c r="C27" s="37">
        <v>36</v>
      </c>
      <c r="D27" s="20"/>
    </row>
    <row r="28" spans="1:16" ht="57" thickBot="1" x14ac:dyDescent="0.35">
      <c r="A28" s="39" t="s">
        <v>18</v>
      </c>
      <c r="B28" s="38" t="s">
        <v>17</v>
      </c>
      <c r="C28" s="37">
        <f>_xlfn.STDEV.S(H23:P26)</f>
        <v>1.8207533762546875</v>
      </c>
      <c r="D28" s="20"/>
    </row>
    <row r="29" spans="1:16" ht="19.5" thickBot="1" x14ac:dyDescent="0.35">
      <c r="A29" s="20"/>
      <c r="B29" s="21"/>
      <c r="C29" s="37">
        <f>C28/SQRT(C27)</f>
        <v>0.30345889604244791</v>
      </c>
      <c r="D29" s="20"/>
    </row>
    <row r="30" spans="1:16" ht="19.5" thickBot="1" x14ac:dyDescent="0.35">
      <c r="A30" s="20"/>
      <c r="B30" s="21"/>
      <c r="C30" s="37"/>
      <c r="D30" s="20"/>
    </row>
    <row r="31" spans="1:16" ht="19.5" thickBot="1" x14ac:dyDescent="0.35">
      <c r="A31" s="20"/>
      <c r="B31" s="21"/>
      <c r="C31" s="37"/>
      <c r="D31" s="20"/>
      <c r="E31" s="20"/>
      <c r="F31" s="20"/>
      <c r="G31" s="20"/>
    </row>
    <row r="32" spans="1:16" ht="19.5" thickBot="1" x14ac:dyDescent="0.35">
      <c r="A32" s="20"/>
      <c r="B32" s="21"/>
      <c r="C32" s="37"/>
      <c r="D32" s="20"/>
      <c r="E32" s="20"/>
      <c r="F32" s="20"/>
      <c r="G32" s="20"/>
    </row>
    <row r="33" spans="1:7" ht="19.5" thickBot="1" x14ac:dyDescent="0.35">
      <c r="A33" s="20"/>
      <c r="B33" s="21"/>
      <c r="C33" s="37">
        <f>AVERAGE(H23:P26)</f>
        <v>5.3833333333333355</v>
      </c>
      <c r="D33" s="20"/>
      <c r="E33" s="20"/>
      <c r="F33" s="20"/>
      <c r="G33" s="20"/>
    </row>
    <row r="34" spans="1:7" ht="19.5" thickBot="1" x14ac:dyDescent="0.35">
      <c r="A34" s="20"/>
      <c r="B34" s="20"/>
      <c r="C34" s="30"/>
      <c r="D34" s="20"/>
      <c r="E34" s="23"/>
      <c r="F34" s="23"/>
      <c r="G34" s="20"/>
    </row>
    <row r="35" spans="1:7" ht="19.5" thickBot="1" x14ac:dyDescent="0.35">
      <c r="A35" s="20"/>
      <c r="B35" s="58" t="s">
        <v>3</v>
      </c>
      <c r="C35" s="59"/>
      <c r="D35" s="24" t="s">
        <v>4</v>
      </c>
      <c r="E35" s="23">
        <f>(C33-C25)/(C29)</f>
        <v>-1.7025919272915082</v>
      </c>
      <c r="F35" s="23">
        <f>1-NORMSDIST(E35)</f>
        <v>0.95567776907233759</v>
      </c>
      <c r="G35" s="20"/>
    </row>
    <row r="36" spans="1:7" ht="18.75" x14ac:dyDescent="0.3">
      <c r="A36" s="20"/>
      <c r="B36" s="20"/>
      <c r="C36" s="30"/>
      <c r="D36" s="20"/>
      <c r="E36" s="20"/>
      <c r="F36" s="20"/>
      <c r="G36" s="20"/>
    </row>
    <row r="37" spans="1:7" ht="18.75" x14ac:dyDescent="0.3">
      <c r="A37" s="20"/>
      <c r="B37" s="20"/>
      <c r="C37" s="30"/>
      <c r="D37" s="20"/>
      <c r="E37" s="20"/>
      <c r="F37" s="20"/>
      <c r="G37" s="20"/>
    </row>
    <row r="38" spans="1:7" ht="18.75" x14ac:dyDescent="0.3">
      <c r="A38" s="20"/>
      <c r="B38" s="20"/>
      <c r="C38" s="30"/>
      <c r="D38" s="20"/>
      <c r="E38" s="20"/>
      <c r="F38" s="20"/>
      <c r="G38" s="20"/>
    </row>
    <row r="39" spans="1:7" ht="18.75" x14ac:dyDescent="0.3">
      <c r="A39" s="20"/>
      <c r="B39" s="20"/>
      <c r="C39" s="30"/>
      <c r="D39" s="20"/>
      <c r="E39" s="20"/>
      <c r="F39" s="20"/>
      <c r="G39" s="20"/>
    </row>
    <row r="40" spans="1:7" ht="18.75" x14ac:dyDescent="0.3">
      <c r="A40" s="20"/>
      <c r="B40" s="20"/>
      <c r="C40" s="30"/>
      <c r="D40" s="20"/>
      <c r="E40" s="20"/>
      <c r="F40" s="20"/>
      <c r="G40" s="20"/>
    </row>
    <row r="41" spans="1:7" ht="18.75" x14ac:dyDescent="0.3">
      <c r="A41" s="20"/>
      <c r="B41" s="20"/>
      <c r="C41" s="30"/>
      <c r="D41" s="20"/>
      <c r="E41" s="20"/>
      <c r="F41" s="20"/>
      <c r="G41" s="20"/>
    </row>
  </sheetData>
  <mergeCells count="15">
    <mergeCell ref="C2:D2"/>
    <mergeCell ref="B14:C14"/>
    <mergeCell ref="B15:C15"/>
    <mergeCell ref="B18:C18"/>
    <mergeCell ref="I14:J14"/>
    <mergeCell ref="I15:J15"/>
    <mergeCell ref="J2:K2"/>
    <mergeCell ref="G18:G19"/>
    <mergeCell ref="E7:F7"/>
    <mergeCell ref="E8:F8"/>
    <mergeCell ref="B35:C35"/>
    <mergeCell ref="C23:D23"/>
    <mergeCell ref="L7:M7"/>
    <mergeCell ref="L8:M8"/>
    <mergeCell ref="N18:N19"/>
  </mergeCell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DB8A-383B-4F77-9706-3698C13A24BF}">
  <dimension ref="A1:L76"/>
  <sheetViews>
    <sheetView tabSelected="1" topLeftCell="A46" zoomScaleNormal="100" workbookViewId="0">
      <selection activeCell="H33" sqref="H33"/>
    </sheetView>
  </sheetViews>
  <sheetFormatPr baseColWidth="10" defaultRowHeight="15" x14ac:dyDescent="0.25"/>
  <cols>
    <col min="2" max="2" width="13.28515625" customWidth="1"/>
    <col min="4" max="4" width="12.140625" bestFit="1" customWidth="1"/>
    <col min="6" max="6" width="12" bestFit="1" customWidth="1"/>
    <col min="7" max="7" width="17.140625" bestFit="1" customWidth="1"/>
    <col min="8" max="8" width="26" bestFit="1" customWidth="1"/>
    <col min="17" max="17" width="17.140625" bestFit="1" customWidth="1"/>
  </cols>
  <sheetData>
    <row r="1" spans="1:9" ht="21" x14ac:dyDescent="0.35">
      <c r="B1" s="74" t="s">
        <v>27</v>
      </c>
      <c r="C1" s="75"/>
      <c r="D1" s="75"/>
      <c r="E1" s="75"/>
    </row>
    <row r="2" spans="1:9" ht="15.75" thickBot="1" x14ac:dyDescent="0.3"/>
    <row r="3" spans="1:9" ht="19.5" thickBot="1" x14ac:dyDescent="0.35">
      <c r="C3" s="21"/>
      <c r="D3" s="32">
        <v>3.01</v>
      </c>
      <c r="E3" s="20"/>
      <c r="F3" s="20"/>
      <c r="G3" s="20"/>
      <c r="H3" s="20"/>
    </row>
    <row r="4" spans="1:9" ht="19.5" thickBot="1" x14ac:dyDescent="0.35">
      <c r="C4" s="20"/>
      <c r="D4" s="29"/>
      <c r="E4" s="20"/>
      <c r="F4" s="20"/>
      <c r="G4" s="20"/>
      <c r="H4" s="20"/>
    </row>
    <row r="5" spans="1:9" ht="19.5" thickBot="1" x14ac:dyDescent="0.35">
      <c r="A5" s="66" t="s">
        <v>21</v>
      </c>
      <c r="B5" s="67"/>
      <c r="C5" s="21"/>
      <c r="D5" s="32">
        <v>49</v>
      </c>
      <c r="E5" s="20"/>
      <c r="F5" s="20"/>
      <c r="G5" s="20"/>
      <c r="H5" s="23"/>
    </row>
    <row r="6" spans="1:9" ht="19.5" thickBot="1" x14ac:dyDescent="0.35">
      <c r="C6" s="20"/>
      <c r="D6" s="29"/>
      <c r="E6" s="20"/>
      <c r="F6" s="20"/>
      <c r="G6" s="20"/>
      <c r="H6" s="23"/>
    </row>
    <row r="7" spans="1:9" ht="24" thickBot="1" x14ac:dyDescent="0.4">
      <c r="A7" s="66" t="s">
        <v>15</v>
      </c>
      <c r="B7" s="67"/>
      <c r="C7" s="21"/>
      <c r="D7" s="32">
        <f>D9/SQRT(D5)</f>
        <v>2.642857142857143E-2</v>
      </c>
      <c r="E7" s="47" t="s">
        <v>24</v>
      </c>
      <c r="F7" s="61"/>
      <c r="G7" s="61"/>
      <c r="H7" s="23"/>
    </row>
    <row r="8" spans="1:9" ht="19.5" thickBot="1" x14ac:dyDescent="0.35">
      <c r="A8" s="66"/>
      <c r="B8" s="67"/>
      <c r="C8" s="34"/>
      <c r="D8" s="32"/>
      <c r="E8" s="20"/>
      <c r="F8" s="20"/>
      <c r="G8" s="20"/>
      <c r="H8" s="20"/>
    </row>
    <row r="9" spans="1:9" ht="19.5" thickBot="1" x14ac:dyDescent="0.35">
      <c r="A9" s="66" t="s">
        <v>19</v>
      </c>
      <c r="B9" s="67"/>
      <c r="C9" s="21"/>
      <c r="D9" s="32">
        <v>0.185</v>
      </c>
      <c r="E9" s="20"/>
      <c r="F9" s="20"/>
      <c r="G9" s="20"/>
      <c r="H9" s="20"/>
    </row>
    <row r="10" spans="1:9" ht="19.5" thickBot="1" x14ac:dyDescent="0.35">
      <c r="C10" s="20"/>
      <c r="D10" s="30"/>
      <c r="E10" s="20"/>
      <c r="F10" s="20"/>
      <c r="G10" s="20"/>
      <c r="H10" s="20"/>
    </row>
    <row r="11" spans="1:9" ht="19.5" thickBot="1" x14ac:dyDescent="0.35">
      <c r="C11" s="21"/>
      <c r="D11" s="44"/>
      <c r="E11" s="32">
        <v>3.05</v>
      </c>
      <c r="F11" s="32">
        <v>3.08</v>
      </c>
      <c r="G11" s="32">
        <v>2.98</v>
      </c>
      <c r="H11" s="32">
        <v>3.02</v>
      </c>
      <c r="I11" s="32">
        <v>0.02</v>
      </c>
    </row>
    <row r="12" spans="1:9" ht="19.5" thickBot="1" x14ac:dyDescent="0.35">
      <c r="C12" s="20"/>
      <c r="D12" s="30"/>
      <c r="E12" s="20"/>
      <c r="F12" s="23"/>
      <c r="G12" s="23"/>
      <c r="H12" s="20"/>
    </row>
    <row r="13" spans="1:9" ht="24" thickBot="1" x14ac:dyDescent="0.4">
      <c r="B13" s="47" t="s">
        <v>23</v>
      </c>
      <c r="C13" s="58" t="s">
        <v>3</v>
      </c>
      <c r="D13" s="59"/>
      <c r="E13" s="24" t="s">
        <v>4</v>
      </c>
      <c r="F13" s="48">
        <f>(F11-D3)/(D7)</f>
        <v>2.6486486486486593</v>
      </c>
      <c r="G13" s="51">
        <f>1-NORMSDIST(F13)</f>
        <v>4.0407150222323551E-3</v>
      </c>
      <c r="H13" s="20"/>
    </row>
    <row r="14" spans="1:9" ht="24" thickBot="1" x14ac:dyDescent="0.4">
      <c r="B14" s="47" t="s">
        <v>22</v>
      </c>
      <c r="C14" s="58" t="s">
        <v>1</v>
      </c>
      <c r="D14" s="59"/>
      <c r="E14" s="24" t="s">
        <v>4</v>
      </c>
      <c r="F14" s="48">
        <f>(E11-D3)/(D7)</f>
        <v>1.5135135135135147</v>
      </c>
      <c r="G14" s="49">
        <f>NORMSDIST(F14)</f>
        <v>0.9349253644012695</v>
      </c>
      <c r="H14" s="20"/>
    </row>
    <row r="15" spans="1:9" ht="18.75" x14ac:dyDescent="0.3">
      <c r="C15" s="20"/>
      <c r="D15" s="30"/>
      <c r="E15" s="20"/>
      <c r="F15" s="20"/>
      <c r="G15" s="20"/>
      <c r="H15" s="20"/>
    </row>
    <row r="16" spans="1:9" ht="19.5" thickBot="1" x14ac:dyDescent="0.35">
      <c r="C16" s="20"/>
      <c r="D16" s="30"/>
      <c r="E16" s="20"/>
      <c r="F16" s="20"/>
      <c r="G16" s="20"/>
      <c r="H16" s="20"/>
    </row>
    <row r="17" spans="1:8" ht="24" thickBot="1" x14ac:dyDescent="0.4">
      <c r="B17" s="54" t="s">
        <v>25</v>
      </c>
      <c r="C17" s="68" t="s">
        <v>7</v>
      </c>
      <c r="D17" s="69"/>
      <c r="E17" s="24" t="s">
        <v>8</v>
      </c>
      <c r="F17" s="48">
        <f>(H11-D3)/(D7)</f>
        <v>0.37837837837838711</v>
      </c>
      <c r="G17" s="48">
        <f>NORMSDIST(F17)</f>
        <v>0.64742523605287583</v>
      </c>
      <c r="H17" s="78">
        <f>G17-G18</f>
        <v>0.51926588495204795</v>
      </c>
    </row>
    <row r="18" spans="1:8" ht="19.5" thickBot="1" x14ac:dyDescent="0.35">
      <c r="C18" s="70"/>
      <c r="D18" s="71"/>
      <c r="E18" s="24" t="s">
        <v>9</v>
      </c>
      <c r="F18" s="48">
        <f>(G11-D3)/(D7)</f>
        <v>-1.1351351351351278</v>
      </c>
      <c r="G18" s="48">
        <f>NORMSDIST(F18)</f>
        <v>0.12815935110082791</v>
      </c>
      <c r="H18" s="79"/>
    </row>
    <row r="19" spans="1:8" ht="24" thickBot="1" x14ac:dyDescent="0.4">
      <c r="D19" s="55" t="s">
        <v>33</v>
      </c>
      <c r="E19" s="24" t="s">
        <v>29</v>
      </c>
      <c r="F19" s="48">
        <f>I11/D7</f>
        <v>0.75675675675675669</v>
      </c>
      <c r="G19" s="48"/>
    </row>
    <row r="22" spans="1:8" ht="15.75" thickBot="1" x14ac:dyDescent="0.3"/>
    <row r="23" spans="1:8" ht="24" thickBot="1" x14ac:dyDescent="0.4">
      <c r="A23" s="47" t="s">
        <v>26</v>
      </c>
    </row>
    <row r="24" spans="1:8" ht="19.5" thickBot="1" x14ac:dyDescent="0.35">
      <c r="C24" s="21"/>
      <c r="D24" s="32">
        <v>3.01</v>
      </c>
      <c r="E24" s="20"/>
      <c r="F24" s="20"/>
      <c r="G24" s="20"/>
      <c r="H24" s="20"/>
    </row>
    <row r="25" spans="1:8" ht="19.5" thickBot="1" x14ac:dyDescent="0.35">
      <c r="C25" s="20"/>
      <c r="D25" s="29"/>
      <c r="E25" s="20"/>
      <c r="F25" s="20"/>
      <c r="G25" s="20"/>
      <c r="H25" s="20"/>
    </row>
    <row r="26" spans="1:8" ht="19.5" thickBot="1" x14ac:dyDescent="0.35">
      <c r="A26" s="66" t="s">
        <v>21</v>
      </c>
      <c r="B26" s="67"/>
      <c r="C26" s="21"/>
      <c r="D26" s="32">
        <v>49</v>
      </c>
      <c r="E26" s="20"/>
      <c r="F26" s="22"/>
      <c r="G26" s="23"/>
      <c r="H26" s="23"/>
    </row>
    <row r="27" spans="1:8" ht="19.5" thickBot="1" x14ac:dyDescent="0.35">
      <c r="C27" s="20"/>
      <c r="D27" s="29"/>
      <c r="E27" s="20"/>
      <c r="F27" s="20"/>
      <c r="G27" s="20"/>
      <c r="H27" s="23"/>
    </row>
    <row r="28" spans="1:8" ht="19.5" thickBot="1" x14ac:dyDescent="0.35">
      <c r="A28" s="46" t="s">
        <v>15</v>
      </c>
      <c r="B28" s="45"/>
      <c r="C28" s="21"/>
      <c r="D28" s="32">
        <f>D30/SQRT(D26)</f>
        <v>2.642857142857143E-2</v>
      </c>
      <c r="E28" s="48">
        <f>SQRT(((D29-D26)/(D29-1)))</f>
        <v>0.91622316219529387</v>
      </c>
      <c r="F28" s="50">
        <f>D28*E28</f>
        <v>2.421446928658991E-2</v>
      </c>
      <c r="G28" s="20"/>
      <c r="H28" s="23"/>
    </row>
    <row r="29" spans="1:8" ht="19.5" thickBot="1" x14ac:dyDescent="0.35">
      <c r="A29" s="46" t="s">
        <v>20</v>
      </c>
      <c r="B29" s="45"/>
      <c r="C29" s="34" t="s">
        <v>12</v>
      </c>
      <c r="D29" s="32">
        <v>300</v>
      </c>
      <c r="E29" s="20"/>
      <c r="F29" s="20"/>
      <c r="G29" s="20"/>
      <c r="H29" s="20"/>
    </row>
    <row r="30" spans="1:8" ht="19.5" thickBot="1" x14ac:dyDescent="0.35">
      <c r="A30" s="46" t="s">
        <v>19</v>
      </c>
      <c r="B30" s="45"/>
      <c r="C30" s="21"/>
      <c r="D30" s="32">
        <v>0.185</v>
      </c>
      <c r="E30" s="20"/>
      <c r="F30" s="20"/>
      <c r="G30" s="20"/>
      <c r="H30" s="20"/>
    </row>
    <row r="31" spans="1:8" ht="19.5" thickBot="1" x14ac:dyDescent="0.35">
      <c r="C31" s="20"/>
      <c r="D31" s="30"/>
      <c r="E31" s="20"/>
      <c r="F31" s="20"/>
      <c r="G31" s="20"/>
      <c r="H31" s="20"/>
    </row>
    <row r="32" spans="1:8" ht="19.5" thickBot="1" x14ac:dyDescent="0.35">
      <c r="C32" s="21"/>
      <c r="D32" s="44"/>
      <c r="E32" s="32">
        <v>3.05</v>
      </c>
      <c r="F32" s="32">
        <v>3.08</v>
      </c>
      <c r="G32" s="32">
        <v>2.98</v>
      </c>
      <c r="H32" s="32">
        <v>3.02</v>
      </c>
    </row>
    <row r="33" spans="1:8" ht="19.5" thickBot="1" x14ac:dyDescent="0.35">
      <c r="C33" s="20"/>
      <c r="D33" s="30"/>
      <c r="E33" s="20"/>
      <c r="F33" s="23"/>
      <c r="G33" s="23"/>
      <c r="H33" s="20"/>
    </row>
    <row r="34" spans="1:8" ht="19.5" thickBot="1" x14ac:dyDescent="0.35">
      <c r="C34" s="58" t="s">
        <v>3</v>
      </c>
      <c r="D34" s="59"/>
      <c r="E34" s="24" t="s">
        <v>4</v>
      </c>
      <c r="F34" s="48">
        <f>(F32-D24)/(F28)</f>
        <v>2.8908335413639077</v>
      </c>
      <c r="G34" s="48">
        <f>1-NORMSDIST(F34)</f>
        <v>1.9211078574693508E-3</v>
      </c>
      <c r="H34" s="20"/>
    </row>
    <row r="35" spans="1:8" ht="19.5" thickBot="1" x14ac:dyDescent="0.35">
      <c r="C35" s="58" t="s">
        <v>1</v>
      </c>
      <c r="D35" s="59"/>
      <c r="E35" s="24" t="s">
        <v>4</v>
      </c>
      <c r="F35" s="48">
        <f>(E32-D24)/(F28)</f>
        <v>1.6519048807793706</v>
      </c>
      <c r="G35" s="49">
        <f>NORMSDIST(F35)</f>
        <v>0.95072302852120749</v>
      </c>
      <c r="H35" s="20"/>
    </row>
    <row r="36" spans="1:8" ht="18.75" x14ac:dyDescent="0.3">
      <c r="C36" s="20"/>
      <c r="D36" s="30"/>
      <c r="E36" s="20"/>
      <c r="F36" s="20"/>
      <c r="G36" s="20"/>
      <c r="H36" s="20"/>
    </row>
    <row r="37" spans="1:8" ht="19.5" thickBot="1" x14ac:dyDescent="0.35">
      <c r="C37" s="20"/>
      <c r="D37" s="30"/>
      <c r="E37" s="20"/>
      <c r="F37" s="20"/>
      <c r="G37" s="20"/>
      <c r="H37" s="20"/>
    </row>
    <row r="38" spans="1:8" ht="19.5" thickBot="1" x14ac:dyDescent="0.35">
      <c r="C38" s="68" t="s">
        <v>36</v>
      </c>
      <c r="D38" s="69"/>
      <c r="E38" s="24" t="s">
        <v>8</v>
      </c>
      <c r="F38" s="48">
        <f>(H32-D24)/(F28)</f>
        <v>0.41297622019485181</v>
      </c>
      <c r="G38" s="48">
        <f>NORMSDIST(F38)</f>
        <v>0.66018798185261596</v>
      </c>
      <c r="H38" s="78">
        <f>G38-G39</f>
        <v>0.55250202255480962</v>
      </c>
    </row>
    <row r="39" spans="1:8" ht="19.5" thickBot="1" x14ac:dyDescent="0.35">
      <c r="C39" s="70"/>
      <c r="D39" s="71"/>
      <c r="E39" s="24" t="s">
        <v>9</v>
      </c>
      <c r="F39" s="48">
        <f>(G32-D24)/(F28)</f>
        <v>-1.2389286605845187</v>
      </c>
      <c r="G39" s="48">
        <f>NORMSDIST(F39)</f>
        <v>0.10768595929780635</v>
      </c>
      <c r="H39" s="79"/>
    </row>
    <row r="41" spans="1:8" ht="21" x14ac:dyDescent="0.35">
      <c r="B41" s="74" t="s">
        <v>28</v>
      </c>
      <c r="C41" s="74"/>
      <c r="D41" s="74"/>
      <c r="E41" s="74"/>
    </row>
    <row r="42" spans="1:8" ht="15.75" thickBot="1" x14ac:dyDescent="0.3"/>
    <row r="43" spans="1:8" ht="19.5" thickBot="1" x14ac:dyDescent="0.35">
      <c r="A43" s="66" t="s">
        <v>32</v>
      </c>
      <c r="B43" s="67"/>
      <c r="C43" s="21"/>
      <c r="D43" s="32">
        <v>6</v>
      </c>
      <c r="E43" s="20"/>
      <c r="F43" s="20"/>
      <c r="G43" s="20"/>
      <c r="H43" s="20"/>
    </row>
    <row r="44" spans="1:8" ht="19.5" thickBot="1" x14ac:dyDescent="0.35">
      <c r="C44" s="20"/>
      <c r="D44" s="29"/>
      <c r="E44" s="20"/>
      <c r="F44" s="20"/>
      <c r="G44" s="20"/>
      <c r="H44" s="20"/>
    </row>
    <row r="45" spans="1:8" ht="19.5" thickBot="1" x14ac:dyDescent="0.35">
      <c r="A45" s="66" t="s">
        <v>21</v>
      </c>
      <c r="B45" s="67"/>
      <c r="C45" s="21"/>
      <c r="D45" s="32">
        <v>8</v>
      </c>
      <c r="E45" s="20"/>
      <c r="F45" s="20"/>
      <c r="G45" s="20"/>
      <c r="H45" s="23"/>
    </row>
    <row r="46" spans="1:8" ht="19.5" thickBot="1" x14ac:dyDescent="0.35">
      <c r="C46" s="20"/>
      <c r="D46" s="29"/>
      <c r="E46" s="20"/>
      <c r="F46" s="20"/>
      <c r="G46" s="20"/>
      <c r="H46" s="23"/>
    </row>
    <row r="47" spans="1:8" ht="19.5" thickBot="1" x14ac:dyDescent="0.35">
      <c r="A47" s="66" t="s">
        <v>15</v>
      </c>
      <c r="B47" s="67"/>
      <c r="C47" s="21"/>
      <c r="D47" s="32">
        <f>D49/SQRT(D45)</f>
        <v>1.7677669529663686E-3</v>
      </c>
    </row>
    <row r="48" spans="1:8" ht="19.5" thickBot="1" x14ac:dyDescent="0.35">
      <c r="A48" s="66"/>
      <c r="B48" s="67"/>
      <c r="C48" s="34"/>
      <c r="D48" s="32"/>
      <c r="E48" s="20"/>
      <c r="F48" s="20"/>
      <c r="G48" s="20"/>
      <c r="H48" s="20"/>
    </row>
    <row r="49" spans="1:12" ht="19.5" thickBot="1" x14ac:dyDescent="0.35">
      <c r="A49" s="66" t="s">
        <v>19</v>
      </c>
      <c r="B49" s="67"/>
      <c r="C49" s="21"/>
      <c r="D49" s="32">
        <v>5.0000000000000001E-3</v>
      </c>
      <c r="E49" s="20"/>
      <c r="F49" s="20"/>
      <c r="G49" s="20"/>
      <c r="H49" s="20"/>
    </row>
    <row r="50" spans="1:12" ht="19.5" thickBot="1" x14ac:dyDescent="0.35">
      <c r="C50" s="20"/>
      <c r="D50" s="30"/>
      <c r="E50" s="20"/>
      <c r="F50" s="20"/>
      <c r="G50" s="20"/>
      <c r="H50" s="20"/>
    </row>
    <row r="51" spans="1:12" ht="19.5" thickBot="1" x14ac:dyDescent="0.35">
      <c r="C51" s="21"/>
      <c r="D51" s="44"/>
      <c r="E51" s="32">
        <v>5.9969999999999999</v>
      </c>
      <c r="F51" s="32">
        <v>6.0049999999999999</v>
      </c>
      <c r="G51" s="20"/>
      <c r="H51" s="20"/>
      <c r="I51" s="20"/>
    </row>
    <row r="52" spans="1:12" ht="19.5" thickBot="1" x14ac:dyDescent="0.35">
      <c r="C52" s="20"/>
      <c r="D52" s="30"/>
      <c r="E52" s="20"/>
      <c r="F52" s="23"/>
      <c r="G52" s="23"/>
    </row>
    <row r="53" spans="1:12" ht="19.5" thickBot="1" x14ac:dyDescent="0.35">
      <c r="C53" s="58" t="s">
        <v>35</v>
      </c>
      <c r="D53" s="59"/>
      <c r="E53" s="24" t="s">
        <v>4</v>
      </c>
      <c r="F53" s="48">
        <f>(F51-D43)/(D49)</f>
        <v>0.99999999999997868</v>
      </c>
      <c r="G53" s="56">
        <f>1-NORMSDIST(F53)</f>
        <v>0.15865525393146218</v>
      </c>
    </row>
    <row r="54" spans="1:12" ht="19.5" thickBot="1" x14ac:dyDescent="0.35">
      <c r="C54" s="58" t="s">
        <v>34</v>
      </c>
      <c r="D54" s="59"/>
      <c r="E54" s="24" t="s">
        <v>4</v>
      </c>
      <c r="F54" s="48">
        <f>(E51-D43)/(D49)</f>
        <v>-0.60000000000002274</v>
      </c>
      <c r="G54" s="56">
        <f>NORMSDIST(F54)</f>
        <v>0.274253117750066</v>
      </c>
    </row>
    <row r="55" spans="1:12" ht="19.5" thickBot="1" x14ac:dyDescent="0.35">
      <c r="C55" s="20"/>
      <c r="D55" s="30"/>
      <c r="E55" s="20"/>
      <c r="F55" s="20"/>
      <c r="G55" s="20"/>
      <c r="H55" s="20"/>
    </row>
    <row r="56" spans="1:12" ht="19.5" thickBot="1" x14ac:dyDescent="0.35">
      <c r="A56" s="68" t="s">
        <v>36</v>
      </c>
      <c r="B56" s="69"/>
      <c r="C56" s="58" t="s">
        <v>35</v>
      </c>
      <c r="D56" s="59"/>
      <c r="E56" s="24" t="s">
        <v>4</v>
      </c>
      <c r="F56" s="48">
        <f>(F51-D43)/(D49)</f>
        <v>0.99999999999997868</v>
      </c>
      <c r="G56" s="51">
        <f>NORMSDIST(F56)</f>
        <v>0.84134474606853782</v>
      </c>
      <c r="H56" s="72">
        <f>G56-G57</f>
        <v>0.56709162831847182</v>
      </c>
    </row>
    <row r="57" spans="1:12" ht="19.5" thickBot="1" x14ac:dyDescent="0.35">
      <c r="A57" s="70"/>
      <c r="B57" s="71"/>
      <c r="C57" s="58" t="s">
        <v>34</v>
      </c>
      <c r="D57" s="59"/>
      <c r="E57" s="24" t="s">
        <v>4</v>
      </c>
      <c r="F57" s="48">
        <f>(E51-D43)/(D49)</f>
        <v>-0.60000000000002274</v>
      </c>
      <c r="G57" s="49">
        <f>NORMSDIST(F57)</f>
        <v>0.274253117750066</v>
      </c>
      <c r="H57" s="73"/>
    </row>
    <row r="58" spans="1:12" ht="18.75" x14ac:dyDescent="0.3">
      <c r="F58" s="20"/>
      <c r="G58" s="20"/>
      <c r="H58" s="20"/>
    </row>
    <row r="60" spans="1:12" ht="21" x14ac:dyDescent="0.35">
      <c r="B60" s="74" t="s">
        <v>30</v>
      </c>
      <c r="C60" s="75"/>
      <c r="D60" s="75"/>
      <c r="E60" s="75"/>
    </row>
    <row r="62" spans="1:12" ht="15.75" thickBot="1" x14ac:dyDescent="0.3"/>
    <row r="63" spans="1:12" ht="19.5" thickBot="1" x14ac:dyDescent="0.35">
      <c r="C63" s="21"/>
      <c r="D63" s="32">
        <v>750</v>
      </c>
      <c r="E63" s="20"/>
      <c r="F63" s="20"/>
      <c r="G63" s="20"/>
      <c r="H63" s="52">
        <v>740</v>
      </c>
      <c r="I63" s="52">
        <v>745</v>
      </c>
      <c r="J63" s="52">
        <v>750</v>
      </c>
      <c r="K63" s="52">
        <v>756.5</v>
      </c>
      <c r="L63" s="52">
        <v>742.4</v>
      </c>
    </row>
    <row r="64" spans="1:12" ht="19.5" thickBot="1" x14ac:dyDescent="0.35">
      <c r="C64" s="32"/>
      <c r="D64" s="32"/>
      <c r="E64" s="20"/>
      <c r="F64" s="20"/>
      <c r="G64" s="20"/>
      <c r="H64" s="52">
        <v>730.2</v>
      </c>
      <c r="I64" s="52">
        <v>745.5</v>
      </c>
      <c r="J64" s="52">
        <v>760.4</v>
      </c>
      <c r="K64" s="52">
        <v>740.8</v>
      </c>
      <c r="L64" s="52">
        <v>750.5</v>
      </c>
    </row>
    <row r="65" spans="1:12" ht="19.5" thickBot="1" x14ac:dyDescent="0.35">
      <c r="A65" s="66" t="s">
        <v>21</v>
      </c>
      <c r="B65" s="67"/>
      <c r="C65" s="21"/>
      <c r="D65" s="32">
        <v>33</v>
      </c>
      <c r="E65" s="20"/>
      <c r="F65" s="22"/>
      <c r="G65" s="23"/>
      <c r="H65" s="52">
        <v>745.6</v>
      </c>
      <c r="I65" s="52">
        <v>744.6</v>
      </c>
      <c r="J65" s="52">
        <v>751.4</v>
      </c>
      <c r="K65" s="52">
        <v>754.2</v>
      </c>
      <c r="L65" s="52">
        <v>740</v>
      </c>
    </row>
    <row r="66" spans="1:12" ht="27" thickBot="1" x14ac:dyDescent="0.35">
      <c r="A66" s="76" t="s">
        <v>31</v>
      </c>
      <c r="B66" s="77"/>
      <c r="C66" s="38" t="s">
        <v>17</v>
      </c>
      <c r="D66" s="32">
        <f>_xlfn.STDEV.S(H63:L69)</f>
        <v>8.5088323095902663</v>
      </c>
      <c r="E66" s="20"/>
      <c r="F66" s="20"/>
      <c r="G66" s="20"/>
      <c r="H66" s="52">
        <v>745</v>
      </c>
      <c r="I66" s="52">
        <v>747.3</v>
      </c>
      <c r="J66" s="52">
        <v>748.6</v>
      </c>
      <c r="K66" s="52">
        <v>756.3</v>
      </c>
      <c r="L66" s="52">
        <v>756.7</v>
      </c>
    </row>
    <row r="67" spans="1:12" ht="19.5" thickBot="1" x14ac:dyDescent="0.35">
      <c r="A67" s="66" t="s">
        <v>15</v>
      </c>
      <c r="B67" s="67"/>
      <c r="C67" s="21"/>
      <c r="D67" s="32">
        <f>D66/SQRT(D65)</f>
        <v>1.4811975833735802</v>
      </c>
      <c r="E67" s="20"/>
      <c r="F67" s="20"/>
      <c r="G67" s="20"/>
      <c r="H67" s="52">
        <v>730.3</v>
      </c>
      <c r="I67" s="52">
        <v>750.2</v>
      </c>
      <c r="J67" s="52">
        <v>750</v>
      </c>
      <c r="K67" s="52">
        <v>760</v>
      </c>
      <c r="L67" s="52">
        <v>735.2</v>
      </c>
    </row>
    <row r="68" spans="1:12" ht="19.5" thickBot="1" x14ac:dyDescent="0.35">
      <c r="A68" s="66"/>
      <c r="B68" s="67"/>
      <c r="C68" s="34"/>
      <c r="D68" s="32"/>
      <c r="E68" s="20"/>
      <c r="F68" s="20"/>
      <c r="G68" s="20"/>
      <c r="H68" s="52">
        <v>746.8</v>
      </c>
      <c r="I68" s="52">
        <v>762.4</v>
      </c>
      <c r="J68" s="52">
        <v>739.6</v>
      </c>
      <c r="K68" s="52">
        <v>758.4</v>
      </c>
      <c r="L68" s="52">
        <v>740</v>
      </c>
    </row>
    <row r="69" spans="1:12" ht="19.5" thickBot="1" x14ac:dyDescent="0.35">
      <c r="A69" s="66" t="s">
        <v>19</v>
      </c>
      <c r="B69" s="67"/>
      <c r="C69" s="21"/>
      <c r="D69" s="32"/>
      <c r="E69" s="20"/>
      <c r="F69" s="20"/>
      <c r="G69" s="20"/>
      <c r="H69" s="52">
        <v>735.8</v>
      </c>
      <c r="I69" s="52">
        <v>739.7</v>
      </c>
      <c r="J69" s="52">
        <v>754.6</v>
      </c>
      <c r="K69" s="52"/>
      <c r="L69" s="52"/>
    </row>
    <row r="70" spans="1:12" ht="19.5" thickBot="1" x14ac:dyDescent="0.35">
      <c r="C70" s="32"/>
      <c r="D70" s="32"/>
      <c r="E70" s="20"/>
      <c r="F70" s="20"/>
      <c r="G70" s="20"/>
      <c r="H70" s="20"/>
    </row>
    <row r="71" spans="1:12" ht="19.5" thickBot="1" x14ac:dyDescent="0.35">
      <c r="C71" s="21"/>
      <c r="D71" s="44">
        <f>AVERAGE(H63:L69)</f>
        <v>747.09090909090912</v>
      </c>
      <c r="E71" s="20"/>
      <c r="F71" s="20"/>
      <c r="G71" s="20"/>
      <c r="H71" s="20"/>
    </row>
    <row r="72" spans="1:12" ht="19.5" thickBot="1" x14ac:dyDescent="0.35">
      <c r="C72" s="20"/>
      <c r="D72" s="30"/>
      <c r="E72" s="20"/>
      <c r="F72" s="23"/>
      <c r="G72" s="23"/>
      <c r="H72" s="20"/>
    </row>
    <row r="73" spans="1:12" ht="19.5" thickBot="1" x14ac:dyDescent="0.35">
      <c r="C73" s="58" t="s">
        <v>3</v>
      </c>
      <c r="D73" s="59"/>
      <c r="E73" s="24" t="s">
        <v>4</v>
      </c>
      <c r="F73" s="48">
        <f>(D71-D63)/(D67)</f>
        <v>-1.9640127297974141</v>
      </c>
      <c r="G73" s="53">
        <f>1-NORMSDIST(F73)</f>
        <v>0.97523569216199713</v>
      </c>
      <c r="H73" s="20"/>
    </row>
    <row r="75" spans="1:12" ht="18.75" x14ac:dyDescent="0.3">
      <c r="C75" s="20"/>
      <c r="D75" s="30"/>
      <c r="E75" s="20"/>
      <c r="F75" s="20"/>
      <c r="G75" s="20"/>
      <c r="H75" s="20"/>
    </row>
    <row r="76" spans="1:12" ht="18.75" x14ac:dyDescent="0.3">
      <c r="C76" s="20"/>
      <c r="D76" s="30"/>
      <c r="E76" s="20"/>
      <c r="F76" s="20"/>
      <c r="G76" s="20"/>
      <c r="H76" s="20"/>
    </row>
  </sheetData>
  <mergeCells count="34">
    <mergeCell ref="F7:G7"/>
    <mergeCell ref="C13:D13"/>
    <mergeCell ref="C14:D14"/>
    <mergeCell ref="H17:H18"/>
    <mergeCell ref="A7:B7"/>
    <mergeCell ref="A68:B68"/>
    <mergeCell ref="A69:B69"/>
    <mergeCell ref="C73:D73"/>
    <mergeCell ref="B1:E1"/>
    <mergeCell ref="B60:E60"/>
    <mergeCell ref="A65:B65"/>
    <mergeCell ref="A67:B67"/>
    <mergeCell ref="A66:B66"/>
    <mergeCell ref="B41:E41"/>
    <mergeCell ref="A45:B45"/>
    <mergeCell ref="A47:B47"/>
    <mergeCell ref="C34:D34"/>
    <mergeCell ref="C35:D35"/>
    <mergeCell ref="A5:B5"/>
    <mergeCell ref="A9:B9"/>
    <mergeCell ref="A8:B8"/>
    <mergeCell ref="A43:B43"/>
    <mergeCell ref="C17:D18"/>
    <mergeCell ref="C56:D56"/>
    <mergeCell ref="C57:D57"/>
    <mergeCell ref="H56:H57"/>
    <mergeCell ref="C38:D39"/>
    <mergeCell ref="A56:B57"/>
    <mergeCell ref="A48:B48"/>
    <mergeCell ref="A49:B49"/>
    <mergeCell ref="C53:D53"/>
    <mergeCell ref="C54:D54"/>
    <mergeCell ref="H38:H39"/>
    <mergeCell ref="A26:B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DMM T-ESTUDENT </vt:lpstr>
      <vt:lpstr>EJEMPLO EN CLASE DE Z</vt:lpstr>
      <vt:lpstr>Hoja1</vt:lpstr>
      <vt:lpstr>'DMM T-ESTUDENT '!OLE_LINK1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de Windows</dc:creator>
  <cp:lastModifiedBy>Wilfran Nehil Gonzalez Mendoza</cp:lastModifiedBy>
  <cp:lastPrinted>2020-04-15T16:25:53Z</cp:lastPrinted>
  <dcterms:created xsi:type="dcterms:W3CDTF">2020-04-15T16:17:42Z</dcterms:created>
  <dcterms:modified xsi:type="dcterms:W3CDTF">2025-09-06T14:45:50Z</dcterms:modified>
</cp:coreProperties>
</file>